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38"/>
  <workbookPr defaultThemeVersion="166925"/>
  <mc:AlternateContent xmlns:mc="http://schemas.openxmlformats.org/markup-compatibility/2006">
    <mc:Choice Requires="x15">
      <x15ac:absPath xmlns:x15ac="http://schemas.microsoft.com/office/spreadsheetml/2010/11/ac" url="E:\deskdirs\编码器-转移层-解码器\bib\"/>
    </mc:Choice>
  </mc:AlternateContent>
  <xr:revisionPtr revIDLastSave="0" documentId="13_ncr:1_{3A442C9D-9524-4ECE-A0E1-082C69B73253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all" sheetId="1" r:id="rId1"/>
    <sheet name="average" sheetId="2" r:id="rId2"/>
  </sheets>
  <definedNames>
    <definedName name="_xlnm._FilterDatabase" localSheetId="0" hidden="1">all!$O$1:$O$109</definedName>
  </definedNames>
  <calcPr calcId="179021"/>
</workbook>
</file>

<file path=xl/calcChain.xml><?xml version="1.0" encoding="utf-8"?>
<calcChain xmlns="http://schemas.openxmlformats.org/spreadsheetml/2006/main">
  <c r="A44" i="2" l="1" a="1"/>
  <c r="A44" i="2" s="1"/>
  <c r="B44" i="2" a="1"/>
  <c r="B44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</calcChain>
</file>

<file path=xl/sharedStrings.xml><?xml version="1.0" encoding="utf-8"?>
<sst xmlns="http://schemas.openxmlformats.org/spreadsheetml/2006/main" count="770" uniqueCount="240">
  <si>
    <t>publication_name</t>
  </si>
  <si>
    <t>organism_type</t>
  </si>
  <si>
    <t>rho_best_ETLD</t>
  </si>
  <si>
    <t>rho_GEMME</t>
  </si>
  <si>
    <t>rho_Best_GEMME</t>
  </si>
  <si>
    <t>pval_best_ETLD</t>
  </si>
  <si>
    <t>pval_GEMME</t>
  </si>
  <si>
    <t>pval_Best_GEMME</t>
  </si>
  <si>
    <t>Aliphatic amide hydrolase: Whitehead 2017</t>
  </si>
  <si>
    <t>AMIE_PSEAE_Whitehead.csv</t>
  </si>
  <si>
    <t>bacterial</t>
  </si>
  <si>
    <t>acetamide_normalized_fitness</t>
  </si>
  <si>
    <t>isobutyramide_normalized_fitness</t>
  </si>
  <si>
    <t>Ture</t>
  </si>
  <si>
    <t>propionamide_normalized_fitness</t>
  </si>
  <si>
    <t>Levoglucosan kinase: Whitehead 2015</t>
  </si>
  <si>
    <t>B3VI55_LIPST_Whitehead2015.csv</t>
  </si>
  <si>
    <t>eukaryotic</t>
  </si>
  <si>
    <t>SelectionOne</t>
  </si>
  <si>
    <t>B3VI55_LIPSTSTABLE.csv</t>
  </si>
  <si>
    <t>SelectionTwo</t>
  </si>
  <si>
    <t>HIV env protein (BF520): Bloom 2018</t>
  </si>
  <si>
    <t>BF520_env_Bloom2018.csv</t>
  </si>
  <si>
    <t>viral</t>
  </si>
  <si>
    <t>fitness</t>
  </si>
  <si>
    <t>HIV env protein (BG505): Bloom 2018</t>
  </si>
  <si>
    <t>BG505_env_Bloom2018.csv</t>
  </si>
  <si>
    <t>beta-glucosidase: Abate 2015</t>
  </si>
  <si>
    <t>BG_STRSQ_hmmerbit.csv</t>
  </si>
  <si>
    <t>enrichment</t>
  </si>
  <si>
    <t>beta-lactamase: Ostermeier 2014</t>
  </si>
  <si>
    <t>BLAT_ECOLX_Ostermeier2014.csv</t>
  </si>
  <si>
    <t>linear</t>
  </si>
  <si>
    <t>beta-lactamase: Palzkill 2012</t>
  </si>
  <si>
    <t>BLAT_ECOLX_Palzkill2012.csv</t>
  </si>
  <si>
    <t>ddG_stat</t>
  </si>
  <si>
    <t>beta-lactamase: Ranganathan 2015</t>
  </si>
  <si>
    <t>BLAT_ECOLX_Ranganathan2015.csv</t>
  </si>
  <si>
    <t>cefotaxime</t>
  </si>
  <si>
    <t>0_1</t>
  </si>
  <si>
    <t>0_2</t>
  </si>
  <si>
    <t>10_1</t>
  </si>
  <si>
    <t>39_1</t>
  </si>
  <si>
    <t>39_2</t>
  </si>
  <si>
    <t>156_1</t>
  </si>
  <si>
    <t>156_2</t>
  </si>
  <si>
    <t>625_1</t>
  </si>
  <si>
    <t>625_2</t>
  </si>
  <si>
    <t>2500_1</t>
  </si>
  <si>
    <t>2500_2</t>
  </si>
  <si>
    <t>km</t>
  </si>
  <si>
    <t>vmax</t>
  </si>
  <si>
    <t>beta-lactamase: Tenaillon 2013</t>
  </si>
  <si>
    <t>BLAT_ECOLX_Tenaillon2013.csv</t>
  </si>
  <si>
    <t>MIC_score</t>
  </si>
  <si>
    <t>BRCA (BRCT domain): Shendure 2018</t>
  </si>
  <si>
    <t>BRCA1_HUMAN_BRCT.csv</t>
  </si>
  <si>
    <t>function_score</t>
  </si>
  <si>
    <t>BRCA (Ring domain): Shendure 2018</t>
  </si>
  <si>
    <t>BRCA1_HUMAN_RING.csv</t>
  </si>
  <si>
    <t>Calmodulin-1: Roth 2017</t>
  </si>
  <si>
    <t>CALM1_HUMAN_Roth2017.csv</t>
  </si>
  <si>
    <t>screenscore</t>
  </si>
  <si>
    <t>DLG: Ranganathan 2012</t>
  </si>
  <si>
    <t>DLG4_RAT_Ranganathan2012.csv</t>
  </si>
  <si>
    <t>CRIPT</t>
  </si>
  <si>
    <t>Tm2F</t>
  </si>
  <si>
    <t>GAL4 (DNA-binding domain): Shendure 2015</t>
  </si>
  <si>
    <t>GAL4_YEAST_Shendure2015.csv</t>
  </si>
  <si>
    <t>NONSEL_24h</t>
  </si>
  <si>
    <t>SEL_A_24h</t>
  </si>
  <si>
    <t>SEL_A_40h</t>
  </si>
  <si>
    <t>SEL_B_40h</t>
  </si>
  <si>
    <t>SEL_C_40h</t>
  </si>
  <si>
    <t>SEL_C_64h</t>
  </si>
  <si>
    <t>Influenza hemagglutinin: Bloom 2016</t>
  </si>
  <si>
    <t>HG_FLU_Bloom2016.csv</t>
  </si>
  <si>
    <t>transformed_pref</t>
  </si>
  <si>
    <t>Imidazoleglycerol-phosphate dehydratase: Kondrashov 2018</t>
  </si>
  <si>
    <t>selection</t>
  </si>
  <si>
    <t>HSP90: Bolon 2016</t>
  </si>
  <si>
    <t>HSP82_YEAST_Bolon2016.csv</t>
  </si>
  <si>
    <t>selection_coefficient</t>
  </si>
  <si>
    <t>Translation initiation factor IF-1: Kishony 2016</t>
  </si>
  <si>
    <t>IF1_ECOLI_Kishony.csv</t>
  </si>
  <si>
    <t>fitness_min</t>
  </si>
  <si>
    <t>fitness_rich</t>
  </si>
  <si>
    <t>Kanamycin kinase APH(3')-II: Mikkelsen 2014</t>
  </si>
  <si>
    <t>KKA2_KLEPN_Mikkelsen2014.csv</t>
  </si>
  <si>
    <t>Ami11_avg</t>
  </si>
  <si>
    <t>Ami12_avg</t>
  </si>
  <si>
    <t>Ami14_avg</t>
  </si>
  <si>
    <t>Ami18_avg</t>
  </si>
  <si>
    <t>G41811_avg</t>
  </si>
  <si>
    <t>G41812_avg</t>
  </si>
  <si>
    <t>G41814_avg</t>
  </si>
  <si>
    <t>Kan11_avg</t>
  </si>
  <si>
    <t>Kan12_avg</t>
  </si>
  <si>
    <t>Kan14_avg</t>
  </si>
  <si>
    <t>Kan18_avg</t>
  </si>
  <si>
    <t>Neo11_avg</t>
  </si>
  <si>
    <t>Neo12_avg</t>
  </si>
  <si>
    <t>Neo14_avg</t>
  </si>
  <si>
    <t>Neo18_avg</t>
  </si>
  <si>
    <t>Paro11_avg</t>
  </si>
  <si>
    <t>Paro12_avg</t>
  </si>
  <si>
    <t>Paro14_avg</t>
  </si>
  <si>
    <t>Paro18_avg</t>
  </si>
  <si>
    <t>Ribo11_avg</t>
  </si>
  <si>
    <t>Ribo12_avg</t>
  </si>
  <si>
    <t>Ribo14_avg</t>
  </si>
  <si>
    <t>Ribo18_avg</t>
  </si>
  <si>
    <t>MAPK1/ERK2: Johannessen 2016</t>
  </si>
  <si>
    <t>MK01_HUMAN_Johannessen.csv</t>
  </si>
  <si>
    <t>ETP_AVERAGE</t>
  </si>
  <si>
    <t>DOX_Average</t>
  </si>
  <si>
    <t>SCH_Average</t>
  </si>
  <si>
    <t>VRT_AVERAGE</t>
  </si>
  <si>
    <t>DNA methyltransferase HaeIII: Tawfik 2015</t>
  </si>
  <si>
    <t>MTH3_HAEAESTABILIZED_Tawfik2015.csv</t>
  </si>
  <si>
    <t>Wrel_G3</t>
  </si>
  <si>
    <t>Wrel_G7</t>
  </si>
  <si>
    <t>Wrel_G17</t>
  </si>
  <si>
    <t>Wrel_G3_filtered</t>
  </si>
  <si>
    <t>Wrel_G7_filtered</t>
  </si>
  <si>
    <t>Wrel_G17_filtered</t>
  </si>
  <si>
    <t>TIM Barrel: T. thermophilus: Matthews 2017</t>
  </si>
  <si>
    <t>P84126_THETH_b0.csv</t>
  </si>
  <si>
    <t>Flu polymerase PA subunit: Sun 2015</t>
  </si>
  <si>
    <t>PA_FLU_Sun2015.csv</t>
  </si>
  <si>
    <t>RF_index</t>
  </si>
  <si>
    <t>PABP doubles: Fields 2013</t>
  </si>
  <si>
    <t>XY_Enrichment_score</t>
  </si>
  <si>
    <t>PABP singles: Fields 2013</t>
  </si>
  <si>
    <t>PABP_YEAST_Fields2013-singles.csv</t>
  </si>
  <si>
    <t>Toxin-antitoxin complex: Laub 2015</t>
  </si>
  <si>
    <t>Hepatitis C NS5A: Sun 2014</t>
  </si>
  <si>
    <t>POLG_HCVJF_Sun2014.csv</t>
  </si>
  <si>
    <t>fitness_daclatasvir</t>
  </si>
  <si>
    <t>fitness_fold_change</t>
  </si>
  <si>
    <t>Phosphatidylinositol 3:4:5-trisphosphate 3-phosphatase and dual-specificity protein phosphatase PTEN: Fowler 2018</t>
  </si>
  <si>
    <t>PTEN_HUMAN_Fowler2018.csv</t>
  </si>
  <si>
    <t>score</t>
  </si>
  <si>
    <t>GTPase HRas: Kuriyan 2017</t>
  </si>
  <si>
    <t>RASH_HUMAN_Kuriyan.csv</t>
  </si>
  <si>
    <t>attenuated</t>
  </si>
  <si>
    <t>regulated</t>
  </si>
  <si>
    <t>unregulated</t>
  </si>
  <si>
    <t>Ubiquitin: Bolon 2013</t>
  </si>
  <si>
    <t>RL401_YEAST_Bolon2013.csv</t>
  </si>
  <si>
    <t>Ubiquitin: Bolon 2014</t>
  </si>
  <si>
    <t>RL401_YEAST_Bolon2014.csv</t>
  </si>
  <si>
    <t>react_rel</t>
  </si>
  <si>
    <t>Ubiquitin: Fraiser 2016</t>
  </si>
  <si>
    <t>RL401_YEAST_Fraser2016.csv</t>
  </si>
  <si>
    <t>Caffeine</t>
  </si>
  <si>
    <t>DMSO</t>
  </si>
  <si>
    <t>DTT</t>
  </si>
  <si>
    <t>HU</t>
  </si>
  <si>
    <t>MG132</t>
  </si>
  <si>
    <t xml:space="preserve"> Small ubiquitin-related modifier 1: Roth 2017</t>
  </si>
  <si>
    <t>SUMO1_HUMAN_Roth2017.csv</t>
  </si>
  <si>
    <t>Thiamin pyrophosphokinase 1: Roth 2017</t>
  </si>
  <si>
    <t>TPK1_HUMAN_Roth2017.csv</t>
  </si>
  <si>
    <t>Thiopurine S-methyltransferase: Fowler 2018</t>
  </si>
  <si>
    <t>TPMT_HUMAN_Fowler2018.csv</t>
  </si>
  <si>
    <t>TIM Barrel: S. solfataricus: Matthews 2017</t>
  </si>
  <si>
    <t>TRPC_SULSO_b0.csv</t>
  </si>
  <si>
    <t>TIM Barrel: T. maritima: Matthews 2017</t>
  </si>
  <si>
    <t>TRPC_THEMA_b0.csv</t>
  </si>
  <si>
    <t>SUMO-conjugating enzyme UBC9: Roth 2017</t>
  </si>
  <si>
    <t>UBC9_HUMAN_Roth2017.csv</t>
  </si>
  <si>
    <t>UBE4B: Klevit 2013</t>
  </si>
  <si>
    <t>UBE4B_MOUSE_Klevit2013-singles.csv</t>
  </si>
  <si>
    <t>log2_ratio</t>
  </si>
  <si>
    <t>YAP1: Fields 2012</t>
  </si>
  <si>
    <t>YAP1_HUMAN_Fields2012-singles.csv</t>
  </si>
  <si>
    <t>False</t>
    <phoneticPr fontId="18" type="noConversion"/>
  </si>
  <si>
    <t>1.67e-311</t>
  </si>
  <si>
    <t>β-lactamase</t>
  </si>
  <si>
    <t>DNA methyltransferase HaeIII</t>
  </si>
  <si>
    <t>PABP doubles (RRM domain)</t>
  </si>
  <si>
    <t>PABP singles (RRM domain)</t>
  </si>
  <si>
    <t>β-glucosidase</t>
  </si>
  <si>
    <t>Kanamycin kinase APH(3')-II</t>
  </si>
  <si>
    <t>YAP1 (WW domain)</t>
  </si>
  <si>
    <t>Toxin-antitoxin complex</t>
  </si>
  <si>
    <t>Aliphatic amide hydrolase</t>
  </si>
  <si>
    <t>PSD 95 (PDZ domain)</t>
  </si>
  <si>
    <t>TIM Barrel (T. thermophilus)</t>
  </si>
  <si>
    <t>BRCA1 (BRCT domain)</t>
  </si>
  <si>
    <t>ThioPurine S-methyltransferase</t>
  </si>
  <si>
    <t>BRCA1 (RING domain)</t>
  </si>
  <si>
    <t>SUMO-conjugating enzyme UBC9</t>
  </si>
  <si>
    <t>UBE4B (U-box domain)</t>
  </si>
  <si>
    <t>HSP90 (ATPase domain)</t>
  </si>
  <si>
    <t>Translation initiation factor IF-1</t>
  </si>
  <si>
    <t>Levoglucosan kinase</t>
  </si>
  <si>
    <t>GTPase HRas</t>
  </si>
  <si>
    <t>Ubiquitin</t>
  </si>
  <si>
    <t>TIM Barrel (T. maritima)</t>
  </si>
  <si>
    <t>Thiamin pyrophosphokinase 1</t>
  </si>
  <si>
    <t>TIM Barrel (S. Solfataricus)</t>
  </si>
  <si>
    <t>GAL4 (DNA-binding domain)</t>
  </si>
  <si>
    <t>GAL4 (DNA-binding domain)</t>
    <phoneticPr fontId="18" type="noConversion"/>
  </si>
  <si>
    <t>Influenza hemagglutinin</t>
  </si>
  <si>
    <t>Imidazoleglycerol-phosphate dehydratase</t>
  </si>
  <si>
    <t>Kanamycin kinase APH(3')-II</t>
    <phoneticPr fontId="18" type="noConversion"/>
  </si>
  <si>
    <t>Mitogen-activated protein kinase 1</t>
  </si>
  <si>
    <t>Calmodluin-1</t>
  </si>
  <si>
    <t>Hepatitis C NS5A</t>
  </si>
  <si>
    <t>Small ubiquitin-related modifier 1</t>
  </si>
  <si>
    <t>PTEN</t>
  </si>
  <si>
    <t>Influenza polymerase PA subunit</t>
  </si>
  <si>
    <t>HIV env (BF520)</t>
  </si>
  <si>
    <t>HIV env (BG505)</t>
  </si>
  <si>
    <t>experiment_name</t>
    <phoneticPr fontId="18" type="noConversion"/>
  </si>
  <si>
    <t>num_data</t>
    <phoneticPr fontId="18" type="noConversion"/>
  </si>
  <si>
    <t>rho_DEEP</t>
    <phoneticPr fontId="18" type="noConversion"/>
  </si>
  <si>
    <t>rho_EVmut</t>
    <phoneticPr fontId="18" type="noConversion"/>
  </si>
  <si>
    <t>rho_Ind_EVmut</t>
    <phoneticPr fontId="18" type="noConversion"/>
  </si>
  <si>
    <t>pval_DEEP</t>
    <phoneticPr fontId="18" type="noConversion"/>
  </si>
  <si>
    <t>pval_Evmut</t>
    <phoneticPr fontId="18" type="noConversion"/>
  </si>
  <si>
    <t>pval_Ind_EVmut</t>
    <phoneticPr fontId="18" type="noConversion"/>
  </si>
  <si>
    <t>paper_name</t>
    <phoneticPr fontId="18" type="noConversion"/>
  </si>
  <si>
    <t>dataset_name</t>
    <phoneticPr fontId="18" type="noConversion"/>
  </si>
  <si>
    <t>single</t>
  </si>
  <si>
    <t>single</t>
    <phoneticPr fontId="18" type="noConversion"/>
  </si>
  <si>
    <t>multiple</t>
    <phoneticPr fontId="18" type="noConversion"/>
  </si>
  <si>
    <t>double</t>
    <phoneticPr fontId="18" type="noConversion"/>
  </si>
  <si>
    <t>Mutation_sites</t>
    <phoneticPr fontId="18" type="noConversion"/>
  </si>
  <si>
    <t>HIS7_YEAST_Kondrashov2017.csv</t>
    <phoneticPr fontId="18" type="noConversion"/>
  </si>
  <si>
    <t>PABP_YEAST_Fields2013-doubles.csv</t>
    <phoneticPr fontId="18" type="noConversion"/>
  </si>
  <si>
    <t>parEparD_3_reindex_Laub2015_all.csv</t>
    <phoneticPr fontId="18" type="noConversion"/>
  </si>
  <si>
    <t xml:space="preserve"># Comparison of the prediction accuracy of mutation effects between ETLD and other advanced models </t>
    <phoneticPr fontId="18" type="noConversion"/>
  </si>
  <si>
    <t>Figure 4A</t>
    <phoneticPr fontId="18" type="noConversion"/>
  </si>
  <si>
    <t>pval_ETLD</t>
    <phoneticPr fontId="18" type="noConversion"/>
  </si>
  <si>
    <t>rho_ETLD</t>
    <phoneticPr fontId="18" type="noConversion"/>
  </si>
  <si>
    <t>#Average performance of each method</t>
    <phoneticPr fontId="18" type="noConversion"/>
  </si>
  <si>
    <t>: Average of absolute values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</si>
</sst>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Times New Roman"/>
      <family val="1"/>
    </font>
    <font>
      <sz val="16"/>
      <color rgb="FFFF0000"/>
      <name val="Times New Roman"/>
      <family val="1"/>
    </font>
    <font>
      <sz val="16"/>
      <name val="Times New Roman"/>
      <family val="1"/>
    </font>
    <font>
      <b/>
      <sz val="20"/>
      <color theme="1"/>
      <name val="Times New Roman"/>
      <family val="1"/>
    </font>
    <font>
      <sz val="16"/>
      <color rgb="FF9C0006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9" fillId="33" borderId="0" xfId="0" applyFont="1" applyFill="1">
      <alignment vertical="center"/>
    </xf>
    <xf numFmtId="0" fontId="0" fillId="33" borderId="0" xfId="0" applyFill="1">
      <alignment vertical="center"/>
    </xf>
    <xf numFmtId="0" fontId="19" fillId="34" borderId="0" xfId="0" applyFont="1" applyFill="1">
      <alignment vertical="center"/>
    </xf>
    <xf numFmtId="11" fontId="19" fillId="34" borderId="0" xfId="0" applyNumberFormat="1" applyFont="1" applyFill="1">
      <alignment vertical="center"/>
    </xf>
    <xf numFmtId="0" fontId="0" fillId="34" borderId="0" xfId="0" applyFill="1">
      <alignment vertical="center"/>
    </xf>
    <xf numFmtId="0" fontId="19" fillId="35" borderId="0" xfId="0" applyFont="1" applyFill="1">
      <alignment vertical="center"/>
    </xf>
    <xf numFmtId="11" fontId="19" fillId="35" borderId="0" xfId="0" applyNumberFormat="1" applyFont="1" applyFill="1">
      <alignment vertical="center"/>
    </xf>
    <xf numFmtId="0" fontId="0" fillId="35" borderId="0" xfId="0" applyFill="1">
      <alignment vertical="center"/>
    </xf>
    <xf numFmtId="49" fontId="19" fillId="33" borderId="0" xfId="0" applyNumberFormat="1" applyFont="1" applyFill="1">
      <alignment vertical="center"/>
    </xf>
    <xf numFmtId="49" fontId="19" fillId="34" borderId="0" xfId="0" applyNumberFormat="1" applyFont="1" applyFill="1">
      <alignment vertical="center"/>
    </xf>
    <xf numFmtId="49" fontId="19" fillId="35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19" fillId="0" borderId="0" xfId="0" applyFont="1">
      <alignment vertical="center"/>
    </xf>
    <xf numFmtId="0" fontId="20" fillId="35" borderId="0" xfId="0" applyFont="1" applyFill="1">
      <alignment vertical="center"/>
    </xf>
    <xf numFmtId="0" fontId="20" fillId="34" borderId="0" xfId="0" applyFont="1" applyFill="1">
      <alignment vertical="center"/>
    </xf>
    <xf numFmtId="0" fontId="21" fillId="35" borderId="0" xfId="0" applyFont="1" applyFill="1">
      <alignment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3" fillId="3" borderId="0" xfId="7" applyFont="1">
      <alignment vertical="center"/>
    </xf>
    <xf numFmtId="0" fontId="19" fillId="36" borderId="0" xfId="0" applyFont="1" applyFill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8">
    <dxf>
      <fill>
        <patternFill patternType="solid">
          <fgColor rgb="FFFF0000"/>
          <bgColor rgb="FFFFFFFF"/>
        </patternFill>
      </fill>
    </dxf>
    <dxf>
      <fill>
        <patternFill patternType="solid">
          <fgColor rgb="FFFF0000"/>
          <bgColor rgb="FFFFFFFF"/>
        </patternFill>
      </fill>
    </dxf>
    <dxf>
      <fill>
        <patternFill patternType="solid">
          <fgColor rgb="FFFF0000"/>
          <bgColor rgb="FFFFFFFF"/>
        </patternFill>
      </fill>
    </dxf>
    <dxf>
      <fill>
        <patternFill patternType="solid">
          <fgColor rgb="FFFF0000"/>
          <bgColor rgb="FFFFFFFF"/>
        </patternFill>
      </fill>
    </dxf>
    <dxf>
      <fill>
        <patternFill patternType="solid">
          <fgColor rgb="FFFF0000"/>
          <bgColor rgb="FFFFFFFF"/>
        </patternFill>
      </fill>
    </dxf>
    <dxf>
      <fill>
        <patternFill patternType="solid">
          <fgColor rgb="FFFF0000"/>
          <bgColor rgb="FFFFFFFF"/>
        </patternFill>
      </fill>
    </dxf>
    <dxf>
      <fill>
        <patternFill patternType="solid">
          <fgColor rgb="FFFF0000"/>
          <bgColor rgb="FFFFFFFF"/>
        </patternFill>
      </fill>
    </dxf>
    <dxf>
      <fill>
        <patternFill patternType="solid">
          <fgColor rgb="FFFF0000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08"/>
  <sheetViews>
    <sheetView tabSelected="1" workbookViewId="0">
      <selection sqref="A1:V1"/>
    </sheetView>
  </sheetViews>
  <sheetFormatPr defaultRowHeight="20.25" x14ac:dyDescent="0.2"/>
  <cols>
    <col min="1" max="1" width="30.875" style="13" customWidth="1"/>
    <col min="2" max="2" width="30.875" customWidth="1"/>
    <col min="3" max="3" width="47.125" customWidth="1"/>
    <col min="4" max="4" width="22.375" customWidth="1"/>
    <col min="5" max="5" width="39.125" customWidth="1"/>
    <col min="6" max="6" width="18.875" customWidth="1"/>
    <col min="7" max="7" width="16.5" style="12" customWidth="1"/>
    <col min="8" max="8" width="17.375" customWidth="1"/>
    <col min="9" max="9" width="22.125" customWidth="1"/>
    <col min="10" max="10" width="28.625" customWidth="1"/>
    <col min="11" max="11" width="16.25" customWidth="1"/>
    <col min="12" max="12" width="23.5" customWidth="1"/>
    <col min="13" max="13" width="24.125" customWidth="1"/>
    <col min="14" max="14" width="14.75" customWidth="1"/>
    <col min="15" max="15" width="9.125" bestFit="1" customWidth="1"/>
    <col min="16" max="16" width="11.875" bestFit="1" customWidth="1"/>
    <col min="17" max="17" width="18" customWidth="1"/>
    <col min="18" max="18" width="22.125" customWidth="1"/>
    <col min="19" max="19" width="16.5" customWidth="1"/>
    <col min="20" max="22" width="11.875" bestFit="1" customWidth="1"/>
  </cols>
  <sheetData>
    <row r="1" spans="1:22" ht="25.5" x14ac:dyDescent="0.2">
      <c r="A1" s="17" t="s">
        <v>234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</row>
    <row r="2" spans="1:22" s="2" customFormat="1" x14ac:dyDescent="0.2">
      <c r="A2" s="1" t="s">
        <v>224</v>
      </c>
      <c r="B2" s="1" t="s">
        <v>0</v>
      </c>
      <c r="C2" s="1" t="s">
        <v>225</v>
      </c>
      <c r="D2" s="1" t="s">
        <v>1</v>
      </c>
      <c r="E2" s="1" t="s">
        <v>216</v>
      </c>
      <c r="F2" s="1" t="s">
        <v>230</v>
      </c>
      <c r="G2" s="9" t="s">
        <v>235</v>
      </c>
      <c r="H2" s="1" t="s">
        <v>217</v>
      </c>
      <c r="I2" s="1" t="s">
        <v>2</v>
      </c>
      <c r="J2" s="1" t="s">
        <v>237</v>
      </c>
      <c r="K2" s="1" t="s">
        <v>3</v>
      </c>
      <c r="L2" s="1" t="s">
        <v>4</v>
      </c>
      <c r="M2" s="1" t="s">
        <v>218</v>
      </c>
      <c r="N2" s="1" t="s">
        <v>219</v>
      </c>
      <c r="O2" s="1" t="s">
        <v>220</v>
      </c>
      <c r="P2" s="1" t="s">
        <v>5</v>
      </c>
      <c r="Q2" s="1" t="s">
        <v>236</v>
      </c>
      <c r="R2" s="1" t="s">
        <v>6</v>
      </c>
      <c r="S2" s="1" t="s">
        <v>7</v>
      </c>
      <c r="T2" s="1" t="s">
        <v>221</v>
      </c>
      <c r="U2" s="1" t="s">
        <v>222</v>
      </c>
      <c r="V2" s="1" t="s">
        <v>223</v>
      </c>
    </row>
    <row r="3" spans="1:22" s="5" customFormat="1" x14ac:dyDescent="0.2">
      <c r="A3" s="3" t="s">
        <v>187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227</v>
      </c>
      <c r="G3" s="10" t="s">
        <v>177</v>
      </c>
      <c r="H3" s="3">
        <v>4544</v>
      </c>
      <c r="I3" s="3">
        <v>0.56000000000000005</v>
      </c>
      <c r="J3" s="3">
        <v>0.53</v>
      </c>
      <c r="K3" s="3">
        <v>0.5</v>
      </c>
      <c r="L3" s="3">
        <v>0.5</v>
      </c>
      <c r="M3" s="3">
        <v>0.52</v>
      </c>
      <c r="N3" s="3">
        <v>0.44</v>
      </c>
      <c r="O3" s="3">
        <v>0.27</v>
      </c>
      <c r="P3" s="3">
        <v>0</v>
      </c>
      <c r="Q3" s="3">
        <v>0</v>
      </c>
      <c r="R3" s="4">
        <v>2.6099999944067801E-302</v>
      </c>
      <c r="S3" s="4">
        <v>3.1300000000000002E-284</v>
      </c>
      <c r="T3" s="4">
        <v>0</v>
      </c>
      <c r="U3" s="4">
        <v>1.35E-216</v>
      </c>
      <c r="V3" s="4">
        <v>1.5500000000000001E-78</v>
      </c>
    </row>
    <row r="4" spans="1:22" s="5" customFormat="1" x14ac:dyDescent="0.2">
      <c r="A4" s="3" t="s">
        <v>187</v>
      </c>
      <c r="B4" s="3" t="s">
        <v>8</v>
      </c>
      <c r="C4" s="3" t="s">
        <v>9</v>
      </c>
      <c r="D4" s="3" t="s">
        <v>10</v>
      </c>
      <c r="E4" s="3" t="s">
        <v>12</v>
      </c>
      <c r="F4" s="3" t="s">
        <v>226</v>
      </c>
      <c r="G4" s="10" t="s">
        <v>13</v>
      </c>
      <c r="H4" s="3">
        <v>4506</v>
      </c>
      <c r="I4" s="15">
        <v>0.62</v>
      </c>
      <c r="J4" s="15">
        <v>0.61</v>
      </c>
      <c r="K4" s="15">
        <v>0.57999999999999996</v>
      </c>
      <c r="L4" s="15">
        <v>0.57999999999999996</v>
      </c>
      <c r="M4" s="15">
        <v>0.64</v>
      </c>
      <c r="N4" s="15">
        <v>0.55000000000000004</v>
      </c>
      <c r="O4" s="15">
        <v>0.38</v>
      </c>
      <c r="P4" s="3">
        <v>0</v>
      </c>
      <c r="Q4" s="3">
        <v>0</v>
      </c>
      <c r="R4" s="3">
        <v>0</v>
      </c>
      <c r="S4" s="3">
        <v>0</v>
      </c>
      <c r="T4" s="4">
        <v>0</v>
      </c>
      <c r="U4" s="4">
        <v>0</v>
      </c>
      <c r="V4" s="4">
        <v>1.34E-156</v>
      </c>
    </row>
    <row r="5" spans="1:22" s="5" customFormat="1" x14ac:dyDescent="0.2">
      <c r="A5" s="3" t="s">
        <v>187</v>
      </c>
      <c r="B5" s="3" t="s">
        <v>8</v>
      </c>
      <c r="C5" s="3" t="s">
        <v>9</v>
      </c>
      <c r="D5" s="3" t="s">
        <v>10</v>
      </c>
      <c r="E5" s="3" t="s">
        <v>14</v>
      </c>
      <c r="F5" s="3" t="s">
        <v>227</v>
      </c>
      <c r="G5" s="10" t="s">
        <v>177</v>
      </c>
      <c r="H5" s="3">
        <v>4553</v>
      </c>
      <c r="I5" s="3">
        <v>0.54</v>
      </c>
      <c r="J5" s="3">
        <v>0.52</v>
      </c>
      <c r="K5" s="3">
        <v>0.49</v>
      </c>
      <c r="L5" s="3">
        <v>0.49</v>
      </c>
      <c r="M5" s="3">
        <v>0.51</v>
      </c>
      <c r="N5" s="3">
        <v>0.45</v>
      </c>
      <c r="O5" s="3">
        <v>0.26</v>
      </c>
      <c r="P5" s="3">
        <v>0</v>
      </c>
      <c r="Q5" s="3">
        <v>0</v>
      </c>
      <c r="R5" s="4">
        <v>5.8199999999999997E-300</v>
      </c>
      <c r="S5" s="4">
        <v>4.9699999999999998E-275</v>
      </c>
      <c r="T5" s="4">
        <v>2.3900000000000001E-300</v>
      </c>
      <c r="U5" s="4">
        <v>1.9799999999999999E-223</v>
      </c>
      <c r="V5" s="4">
        <v>3.1300000000000001E-72</v>
      </c>
    </row>
    <row r="6" spans="1:22" s="8" customFormat="1" x14ac:dyDescent="0.2">
      <c r="A6" s="6" t="s">
        <v>197</v>
      </c>
      <c r="B6" s="6" t="s">
        <v>15</v>
      </c>
      <c r="C6" s="6" t="s">
        <v>16</v>
      </c>
      <c r="D6" s="6" t="s">
        <v>17</v>
      </c>
      <c r="E6" s="6" t="s">
        <v>18</v>
      </c>
      <c r="F6" s="6" t="s">
        <v>227</v>
      </c>
      <c r="G6" s="11" t="s">
        <v>177</v>
      </c>
      <c r="H6" s="6">
        <v>6326</v>
      </c>
      <c r="I6" s="14">
        <v>0.25</v>
      </c>
      <c r="J6" s="14">
        <v>0.23</v>
      </c>
      <c r="K6" s="14">
        <v>0.23</v>
      </c>
      <c r="L6" s="14">
        <v>0.24</v>
      </c>
      <c r="M6" s="14">
        <v>0.23</v>
      </c>
      <c r="N6" s="14">
        <v>0.22</v>
      </c>
      <c r="O6" s="14">
        <v>0.17</v>
      </c>
      <c r="P6" s="7">
        <v>1.0399999999999999E-92</v>
      </c>
      <c r="Q6" s="7">
        <v>1.55E-75</v>
      </c>
      <c r="R6" s="7">
        <v>1.48E-77</v>
      </c>
      <c r="S6" s="7">
        <v>3.7500000000000002E-78</v>
      </c>
      <c r="T6" s="7">
        <v>1.2400000000000001E-77</v>
      </c>
      <c r="U6" s="7">
        <v>9.74E-73</v>
      </c>
      <c r="V6" s="7">
        <v>4.7499999999999996E-44</v>
      </c>
    </row>
    <row r="7" spans="1:22" s="5" customFormat="1" x14ac:dyDescent="0.2">
      <c r="A7" s="3" t="s">
        <v>197</v>
      </c>
      <c r="B7" s="3" t="s">
        <v>15</v>
      </c>
      <c r="C7" s="3" t="s">
        <v>19</v>
      </c>
      <c r="D7" s="3" t="s">
        <v>17</v>
      </c>
      <c r="E7" s="3" t="s">
        <v>20</v>
      </c>
      <c r="F7" s="3" t="s">
        <v>226</v>
      </c>
      <c r="G7" s="10" t="s">
        <v>13</v>
      </c>
      <c r="H7" s="3">
        <v>6540</v>
      </c>
      <c r="I7" s="15">
        <v>0.51</v>
      </c>
      <c r="J7" s="15">
        <v>0.49</v>
      </c>
      <c r="K7" s="15">
        <v>0.47</v>
      </c>
      <c r="L7" s="15">
        <v>0.47</v>
      </c>
      <c r="M7" s="15">
        <v>0.49</v>
      </c>
      <c r="N7" s="15">
        <v>0.43</v>
      </c>
      <c r="O7" s="15">
        <v>0.33</v>
      </c>
      <c r="P7" s="3">
        <v>0</v>
      </c>
      <c r="Q7" s="3">
        <v>0</v>
      </c>
      <c r="R7" s="3">
        <v>0</v>
      </c>
      <c r="S7" s="3">
        <v>0</v>
      </c>
      <c r="T7" s="4">
        <v>0</v>
      </c>
      <c r="U7" s="4">
        <v>9.0300000000000003E-299</v>
      </c>
      <c r="V7" s="4">
        <v>7.5500000000000005E-169</v>
      </c>
    </row>
    <row r="8" spans="1:22" s="8" customFormat="1" x14ac:dyDescent="0.2">
      <c r="A8" s="6" t="s">
        <v>214</v>
      </c>
      <c r="B8" s="6" t="s">
        <v>21</v>
      </c>
      <c r="C8" s="6" t="s">
        <v>22</v>
      </c>
      <c r="D8" s="6" t="s">
        <v>23</v>
      </c>
      <c r="E8" s="6" t="s">
        <v>24</v>
      </c>
      <c r="F8" s="6" t="s">
        <v>226</v>
      </c>
      <c r="G8" s="11" t="s">
        <v>13</v>
      </c>
      <c r="H8" s="6">
        <v>12236</v>
      </c>
      <c r="I8" s="14">
        <v>0.52</v>
      </c>
      <c r="J8" s="14">
        <v>0.51</v>
      </c>
      <c r="K8" s="14">
        <v>0.5</v>
      </c>
      <c r="L8" s="14">
        <v>0.52</v>
      </c>
      <c r="M8" s="14">
        <v>0</v>
      </c>
      <c r="N8" s="14">
        <v>0.4</v>
      </c>
      <c r="O8" s="14">
        <v>0.48</v>
      </c>
      <c r="P8" s="6">
        <v>0</v>
      </c>
      <c r="Q8" s="6">
        <v>0</v>
      </c>
      <c r="R8" s="6">
        <v>0.746</v>
      </c>
      <c r="S8" s="6">
        <v>0</v>
      </c>
      <c r="T8" s="7">
        <v>0.746</v>
      </c>
      <c r="U8" s="7">
        <v>0</v>
      </c>
      <c r="V8" s="7">
        <v>0</v>
      </c>
    </row>
    <row r="9" spans="1:22" s="5" customFormat="1" x14ac:dyDescent="0.2">
      <c r="A9" s="3" t="s">
        <v>215</v>
      </c>
      <c r="B9" s="3" t="s">
        <v>25</v>
      </c>
      <c r="C9" s="3" t="s">
        <v>26</v>
      </c>
      <c r="D9" s="3" t="s">
        <v>23</v>
      </c>
      <c r="E9" s="3" t="s">
        <v>24</v>
      </c>
      <c r="F9" s="3" t="s">
        <v>226</v>
      </c>
      <c r="G9" s="10" t="s">
        <v>13</v>
      </c>
      <c r="H9" s="3">
        <v>12217</v>
      </c>
      <c r="I9" s="15">
        <v>0.52</v>
      </c>
      <c r="J9" s="15">
        <v>0.51</v>
      </c>
      <c r="K9" s="15">
        <v>0.5</v>
      </c>
      <c r="L9" s="15">
        <v>0.52</v>
      </c>
      <c r="M9" s="15">
        <v>0.18</v>
      </c>
      <c r="N9" s="15">
        <v>0.41</v>
      </c>
      <c r="O9" s="15">
        <v>0.48</v>
      </c>
      <c r="P9" s="3">
        <v>0</v>
      </c>
      <c r="Q9" s="3">
        <v>0</v>
      </c>
      <c r="R9" s="4">
        <v>1.6100000000000001E-88</v>
      </c>
      <c r="S9" s="3">
        <v>0</v>
      </c>
      <c r="T9" s="4">
        <v>1.6100000000000001E-88</v>
      </c>
      <c r="U9" s="4">
        <v>0</v>
      </c>
      <c r="V9" s="4">
        <v>0</v>
      </c>
    </row>
    <row r="10" spans="1:22" s="8" customFormat="1" x14ac:dyDescent="0.2">
      <c r="A10" s="6" t="s">
        <v>183</v>
      </c>
      <c r="B10" s="6" t="s">
        <v>27</v>
      </c>
      <c r="C10" s="6" t="s">
        <v>28</v>
      </c>
      <c r="D10" s="6" t="s">
        <v>10</v>
      </c>
      <c r="E10" s="6" t="s">
        <v>29</v>
      </c>
      <c r="F10" s="6" t="s">
        <v>226</v>
      </c>
      <c r="G10" s="11" t="s">
        <v>13</v>
      </c>
      <c r="H10" s="6">
        <v>2635</v>
      </c>
      <c r="I10" s="14">
        <v>0.66</v>
      </c>
      <c r="J10" s="14">
        <v>0.65</v>
      </c>
      <c r="K10" s="14">
        <v>0.64</v>
      </c>
      <c r="L10" s="14">
        <v>0.65</v>
      </c>
      <c r="M10" s="14">
        <v>0.67</v>
      </c>
      <c r="N10" s="14">
        <v>0.63</v>
      </c>
      <c r="O10" s="14">
        <v>0.54</v>
      </c>
      <c r="P10" s="6">
        <v>0</v>
      </c>
      <c r="Q10" s="7" t="s">
        <v>178</v>
      </c>
      <c r="R10" s="6">
        <v>0</v>
      </c>
      <c r="S10" s="7">
        <v>2.0499999999999999E-302</v>
      </c>
      <c r="T10" s="7">
        <v>0</v>
      </c>
      <c r="U10" s="7">
        <v>1.59E-291</v>
      </c>
      <c r="V10" s="7">
        <v>2.0399999999999999E-202</v>
      </c>
    </row>
    <row r="11" spans="1:22" s="5" customFormat="1" x14ac:dyDescent="0.2">
      <c r="A11" s="3" t="s">
        <v>179</v>
      </c>
      <c r="B11" s="3" t="s">
        <v>30</v>
      </c>
      <c r="C11" s="3" t="s">
        <v>31</v>
      </c>
      <c r="D11" s="3" t="s">
        <v>10</v>
      </c>
      <c r="E11" s="3" t="s">
        <v>32</v>
      </c>
      <c r="F11" s="3" t="s">
        <v>226</v>
      </c>
      <c r="G11" s="10" t="s">
        <v>177</v>
      </c>
      <c r="H11" s="3">
        <v>4595</v>
      </c>
      <c r="I11" s="15">
        <v>0.78</v>
      </c>
      <c r="J11" s="15">
        <v>0.77</v>
      </c>
      <c r="K11" s="15">
        <v>0.74</v>
      </c>
      <c r="L11" s="15">
        <v>0.74</v>
      </c>
      <c r="M11" s="15">
        <v>0.78</v>
      </c>
      <c r="N11" s="15">
        <v>0.73</v>
      </c>
      <c r="O11" s="15">
        <v>0.63</v>
      </c>
      <c r="P11" s="3">
        <v>0</v>
      </c>
      <c r="Q11" s="3">
        <v>0</v>
      </c>
      <c r="R11" s="3">
        <v>0</v>
      </c>
      <c r="S11" s="3">
        <v>0</v>
      </c>
      <c r="T11" s="4">
        <v>0</v>
      </c>
      <c r="U11" s="4">
        <v>0</v>
      </c>
      <c r="V11" s="4">
        <v>0</v>
      </c>
    </row>
    <row r="12" spans="1:22" s="8" customFormat="1" x14ac:dyDescent="0.2">
      <c r="A12" s="6" t="s">
        <v>179</v>
      </c>
      <c r="B12" s="6" t="s">
        <v>33</v>
      </c>
      <c r="C12" s="6" t="s">
        <v>34</v>
      </c>
      <c r="D12" s="6" t="s">
        <v>10</v>
      </c>
      <c r="E12" s="6" t="s">
        <v>35</v>
      </c>
      <c r="F12" s="6" t="s">
        <v>226</v>
      </c>
      <c r="G12" s="11" t="s">
        <v>177</v>
      </c>
      <c r="H12" s="6">
        <v>4788</v>
      </c>
      <c r="I12" s="14">
        <v>-0.57999999999999996</v>
      </c>
      <c r="J12" s="14">
        <v>-0.57999999999999996</v>
      </c>
      <c r="K12" s="14">
        <v>-0.51</v>
      </c>
      <c r="L12" s="14">
        <v>-0.51</v>
      </c>
      <c r="M12" s="14">
        <v>-0.56000000000000005</v>
      </c>
      <c r="N12" s="14">
        <v>-0.5</v>
      </c>
      <c r="O12" s="14">
        <v>-0.44</v>
      </c>
      <c r="P12" s="6">
        <v>0</v>
      </c>
      <c r="Q12" s="6">
        <v>0</v>
      </c>
      <c r="R12" s="6">
        <v>0</v>
      </c>
      <c r="S12" s="7">
        <v>3.4099999999999999E-299</v>
      </c>
      <c r="T12" s="7">
        <v>0</v>
      </c>
      <c r="U12" s="7">
        <v>6.4100000000000003E-307</v>
      </c>
      <c r="V12" s="7">
        <v>4.0900000000000002E-221</v>
      </c>
    </row>
    <row r="13" spans="1:22" s="5" customFormat="1" x14ac:dyDescent="0.2">
      <c r="A13" s="3" t="s">
        <v>179</v>
      </c>
      <c r="B13" s="3" t="s">
        <v>36</v>
      </c>
      <c r="C13" s="3" t="s">
        <v>37</v>
      </c>
      <c r="D13" s="3" t="s">
        <v>10</v>
      </c>
      <c r="E13" s="3">
        <v>0</v>
      </c>
      <c r="F13" s="3" t="s">
        <v>226</v>
      </c>
      <c r="G13" s="10" t="s">
        <v>177</v>
      </c>
      <c r="H13" s="3">
        <v>4788</v>
      </c>
      <c r="I13" s="3">
        <v>0.2</v>
      </c>
      <c r="J13" s="3">
        <v>0.19</v>
      </c>
      <c r="K13" s="3">
        <v>0.2</v>
      </c>
      <c r="L13" s="3">
        <v>0.2</v>
      </c>
      <c r="M13" s="3">
        <v>0.17</v>
      </c>
      <c r="N13" s="3">
        <v>0.17</v>
      </c>
      <c r="O13" s="3">
        <v>0.15</v>
      </c>
      <c r="P13" s="4">
        <v>8.9999999999999997E-44</v>
      </c>
      <c r="Q13" s="4">
        <v>8.6999999999999998E-41</v>
      </c>
      <c r="R13" s="4">
        <v>1.4100000000000001E-32</v>
      </c>
      <c r="S13" s="4">
        <v>2.2000000000000001E-46</v>
      </c>
      <c r="T13" s="4">
        <v>1.4100000000000001E-32</v>
      </c>
      <c r="U13" s="4">
        <v>4.8499999999999999E-33</v>
      </c>
      <c r="V13" s="4">
        <v>5.9500000000000004E-26</v>
      </c>
    </row>
    <row r="14" spans="1:22" s="5" customFormat="1" x14ac:dyDescent="0.2">
      <c r="A14" s="3" t="s">
        <v>179</v>
      </c>
      <c r="B14" s="3" t="s">
        <v>36</v>
      </c>
      <c r="C14" s="3" t="s">
        <v>37</v>
      </c>
      <c r="D14" s="3" t="s">
        <v>10</v>
      </c>
      <c r="E14" s="3">
        <v>39</v>
      </c>
      <c r="F14" s="3" t="s">
        <v>226</v>
      </c>
      <c r="G14" s="10" t="s">
        <v>177</v>
      </c>
      <c r="H14" s="3">
        <v>4788</v>
      </c>
      <c r="I14" s="3">
        <v>0.33</v>
      </c>
      <c r="J14" s="3">
        <v>0.28000000000000003</v>
      </c>
      <c r="K14" s="3">
        <v>0.31</v>
      </c>
      <c r="L14" s="3">
        <v>0.31</v>
      </c>
      <c r="M14" s="3">
        <v>0.27</v>
      </c>
      <c r="N14" s="3">
        <v>0.3</v>
      </c>
      <c r="O14" s="3">
        <v>0.3</v>
      </c>
      <c r="P14" s="4">
        <v>7.4399999999999999E-119</v>
      </c>
      <c r="Q14" s="4">
        <v>3.0399999999999999E-84</v>
      </c>
      <c r="R14" s="4">
        <v>2.4899999999999999E-78</v>
      </c>
      <c r="S14" s="4">
        <v>4.7199999999999998E-105</v>
      </c>
      <c r="T14" s="4">
        <v>2.4899999999999999E-78</v>
      </c>
      <c r="U14" s="4">
        <v>1.7399999999999999E-100</v>
      </c>
      <c r="V14" s="4">
        <v>5.1399999999999998E-103</v>
      </c>
    </row>
    <row r="15" spans="1:22" s="5" customFormat="1" x14ac:dyDescent="0.2">
      <c r="A15" s="3" t="s">
        <v>179</v>
      </c>
      <c r="B15" s="3" t="s">
        <v>36</v>
      </c>
      <c r="C15" s="3" t="s">
        <v>37</v>
      </c>
      <c r="D15" s="3" t="s">
        <v>10</v>
      </c>
      <c r="E15" s="3">
        <v>156</v>
      </c>
      <c r="F15" s="3" t="s">
        <v>226</v>
      </c>
      <c r="G15" s="10" t="s">
        <v>177</v>
      </c>
      <c r="H15" s="3">
        <v>4788</v>
      </c>
      <c r="I15" s="3">
        <v>0.48</v>
      </c>
      <c r="J15" s="3">
        <v>0.46</v>
      </c>
      <c r="K15" s="3">
        <v>0.47</v>
      </c>
      <c r="L15" s="3">
        <v>0.47</v>
      </c>
      <c r="M15" s="3">
        <v>0.45</v>
      </c>
      <c r="N15" s="3">
        <v>0.46</v>
      </c>
      <c r="O15" s="3">
        <v>0.41</v>
      </c>
      <c r="P15" s="4">
        <v>9.4599999999999993E-277</v>
      </c>
      <c r="Q15" s="4">
        <v>5.7099999999999999E-247</v>
      </c>
      <c r="R15" s="4">
        <v>2.09E-235</v>
      </c>
      <c r="S15" s="4">
        <v>2.6299999999999999E-266</v>
      </c>
      <c r="T15" s="4">
        <v>2.09E-235</v>
      </c>
      <c r="U15" s="4">
        <v>1.9599999999999998E-245</v>
      </c>
      <c r="V15" s="4">
        <v>3.6299999999999998E-196</v>
      </c>
    </row>
    <row r="16" spans="1:22" s="5" customFormat="1" x14ac:dyDescent="0.2">
      <c r="A16" s="3" t="s">
        <v>179</v>
      </c>
      <c r="B16" s="3" t="s">
        <v>36</v>
      </c>
      <c r="C16" s="3" t="s">
        <v>37</v>
      </c>
      <c r="D16" s="3" t="s">
        <v>10</v>
      </c>
      <c r="E16" s="3">
        <v>625</v>
      </c>
      <c r="F16" s="3" t="s">
        <v>226</v>
      </c>
      <c r="G16" s="10" t="s">
        <v>177</v>
      </c>
      <c r="H16" s="3">
        <v>4788</v>
      </c>
      <c r="I16" s="3">
        <v>0.64</v>
      </c>
      <c r="J16" s="3">
        <v>0.63</v>
      </c>
      <c r="K16" s="3">
        <v>0.62</v>
      </c>
      <c r="L16" s="3">
        <v>0.62</v>
      </c>
      <c r="M16" s="3">
        <v>0.63</v>
      </c>
      <c r="N16" s="3">
        <v>0.6</v>
      </c>
      <c r="O16" s="3">
        <v>0.52</v>
      </c>
      <c r="P16" s="3">
        <v>0</v>
      </c>
      <c r="Q16" s="3">
        <v>0</v>
      </c>
      <c r="R16" s="3">
        <v>0</v>
      </c>
      <c r="S16" s="3">
        <v>0</v>
      </c>
      <c r="T16" s="4">
        <v>0</v>
      </c>
      <c r="U16" s="4">
        <v>0</v>
      </c>
      <c r="V16" s="4">
        <v>0</v>
      </c>
    </row>
    <row r="17" spans="1:22" s="5" customFormat="1" x14ac:dyDescent="0.2">
      <c r="A17" s="3" t="s">
        <v>179</v>
      </c>
      <c r="B17" s="3" t="s">
        <v>36</v>
      </c>
      <c r="C17" s="3" t="s">
        <v>37</v>
      </c>
      <c r="D17" s="3" t="s">
        <v>10</v>
      </c>
      <c r="E17" s="3">
        <v>2500</v>
      </c>
      <c r="F17" s="3" t="s">
        <v>226</v>
      </c>
      <c r="G17" s="10" t="s">
        <v>177</v>
      </c>
      <c r="H17" s="3">
        <v>4788</v>
      </c>
      <c r="I17" s="3">
        <v>0.79</v>
      </c>
      <c r="J17" s="3">
        <v>0.77</v>
      </c>
      <c r="K17" s="3">
        <v>0.74</v>
      </c>
      <c r="L17" s="3">
        <v>0.74</v>
      </c>
      <c r="M17" s="15">
        <v>0.78</v>
      </c>
      <c r="N17" s="3">
        <v>0.72</v>
      </c>
      <c r="O17" s="3">
        <v>0.61</v>
      </c>
      <c r="P17" s="3">
        <v>0</v>
      </c>
      <c r="Q17" s="3">
        <v>0</v>
      </c>
      <c r="R17" s="3">
        <v>0</v>
      </c>
      <c r="S17" s="3">
        <v>0</v>
      </c>
      <c r="T17" s="4">
        <v>0</v>
      </c>
      <c r="U17" s="4">
        <v>0</v>
      </c>
      <c r="V17" s="4">
        <v>0</v>
      </c>
    </row>
    <row r="18" spans="1:22" s="5" customFormat="1" x14ac:dyDescent="0.2">
      <c r="A18" s="3" t="s">
        <v>179</v>
      </c>
      <c r="B18" s="3" t="s">
        <v>36</v>
      </c>
      <c r="C18" s="3" t="s">
        <v>37</v>
      </c>
      <c r="D18" s="3" t="s">
        <v>10</v>
      </c>
      <c r="E18" s="3" t="s">
        <v>38</v>
      </c>
      <c r="F18" s="3" t="s">
        <v>226</v>
      </c>
      <c r="G18" s="10" t="s">
        <v>177</v>
      </c>
      <c r="H18" s="3">
        <v>4769</v>
      </c>
      <c r="I18" s="3">
        <v>-0.11</v>
      </c>
      <c r="J18" s="3">
        <v>-0.08</v>
      </c>
      <c r="K18" s="3">
        <v>-0.1</v>
      </c>
      <c r="L18" s="3">
        <v>-0.1</v>
      </c>
      <c r="M18" s="3">
        <v>-0.09</v>
      </c>
      <c r="N18" s="3">
        <v>-0.09</v>
      </c>
      <c r="O18" s="3">
        <v>-0.1</v>
      </c>
      <c r="P18" s="4">
        <v>4.1800000000000002E-14</v>
      </c>
      <c r="Q18" s="4">
        <v>7.7200000000000006E-9</v>
      </c>
      <c r="R18" s="4">
        <v>1.99E-9</v>
      </c>
      <c r="S18" s="4">
        <v>6.3500000000000002E-12</v>
      </c>
      <c r="T18" s="4">
        <v>1.99E-9</v>
      </c>
      <c r="U18" s="4">
        <v>6.1800000000000004E-10</v>
      </c>
      <c r="V18" s="4">
        <v>5.6599999999999997E-12</v>
      </c>
    </row>
    <row r="19" spans="1:22" s="5" customFormat="1" x14ac:dyDescent="0.2">
      <c r="A19" s="3" t="s">
        <v>179</v>
      </c>
      <c r="B19" s="3" t="s">
        <v>36</v>
      </c>
      <c r="C19" s="3" t="s">
        <v>37</v>
      </c>
      <c r="D19" s="3" t="s">
        <v>10</v>
      </c>
      <c r="E19" s="3" t="s">
        <v>39</v>
      </c>
      <c r="F19" s="3" t="s">
        <v>226</v>
      </c>
      <c r="G19" s="10" t="s">
        <v>177</v>
      </c>
      <c r="H19" s="3">
        <v>4788</v>
      </c>
      <c r="I19" s="3">
        <v>0.09</v>
      </c>
      <c r="J19" s="3">
        <v>0.06</v>
      </c>
      <c r="K19" s="3">
        <v>7.0000000000000007E-2</v>
      </c>
      <c r="L19" s="3">
        <v>7.0000000000000007E-2</v>
      </c>
      <c r="M19" s="3">
        <v>0.04</v>
      </c>
      <c r="N19" s="3">
        <v>0.05</v>
      </c>
      <c r="O19" s="3">
        <v>0.03</v>
      </c>
      <c r="P19" s="4">
        <v>1.13E-9</v>
      </c>
      <c r="Q19" s="3">
        <v>8.3399999999999998E-6</v>
      </c>
      <c r="R19" s="3">
        <v>3.8999999999999998E-3</v>
      </c>
      <c r="S19" s="3">
        <v>1.1000000000000001E-6</v>
      </c>
      <c r="T19" s="4">
        <v>3.8999999999999998E-3</v>
      </c>
      <c r="U19" s="4">
        <v>4.73E-4</v>
      </c>
      <c r="V19" s="4">
        <v>6.1800000000000001E-2</v>
      </c>
    </row>
    <row r="20" spans="1:22" s="5" customFormat="1" x14ac:dyDescent="0.2">
      <c r="A20" s="3" t="s">
        <v>179</v>
      </c>
      <c r="B20" s="3" t="s">
        <v>36</v>
      </c>
      <c r="C20" s="3" t="s">
        <v>37</v>
      </c>
      <c r="D20" s="3" t="s">
        <v>10</v>
      </c>
      <c r="E20" s="3" t="s">
        <v>40</v>
      </c>
      <c r="F20" s="3" t="s">
        <v>226</v>
      </c>
      <c r="G20" s="10" t="s">
        <v>177</v>
      </c>
      <c r="H20" s="3">
        <v>4769</v>
      </c>
      <c r="I20" s="3">
        <v>0.26</v>
      </c>
      <c r="J20" s="3">
        <v>0.25</v>
      </c>
      <c r="K20" s="3">
        <v>0.26</v>
      </c>
      <c r="L20" s="3">
        <v>0.26</v>
      </c>
      <c r="M20" s="3">
        <v>0.24</v>
      </c>
      <c r="N20" s="3">
        <v>0.23</v>
      </c>
      <c r="O20" s="3">
        <v>0.21</v>
      </c>
      <c r="P20" s="4">
        <v>1.11E-72</v>
      </c>
      <c r="Q20" s="4">
        <v>1.6100000000000001E-67</v>
      </c>
      <c r="R20" s="4">
        <v>1.8100000000000001E-61</v>
      </c>
      <c r="S20" s="4">
        <v>2.0899999999999999E-76</v>
      </c>
      <c r="T20" s="4">
        <v>1.8100000000000001E-61</v>
      </c>
      <c r="U20" s="4">
        <v>2.1600000000000001E-56</v>
      </c>
      <c r="V20" s="4">
        <v>2.24E-47</v>
      </c>
    </row>
    <row r="21" spans="1:22" s="5" customFormat="1" x14ac:dyDescent="0.2">
      <c r="A21" s="3" t="s">
        <v>179</v>
      </c>
      <c r="B21" s="3" t="s">
        <v>36</v>
      </c>
      <c r="C21" s="3" t="s">
        <v>37</v>
      </c>
      <c r="D21" s="3" t="s">
        <v>10</v>
      </c>
      <c r="E21" s="3" t="s">
        <v>41</v>
      </c>
      <c r="F21" s="3" t="s">
        <v>226</v>
      </c>
      <c r="G21" s="10" t="s">
        <v>177</v>
      </c>
      <c r="H21" s="3">
        <v>4655</v>
      </c>
      <c r="I21" s="3">
        <v>0.11</v>
      </c>
      <c r="J21" s="3">
        <v>0.1</v>
      </c>
      <c r="K21" s="3">
        <v>0.1</v>
      </c>
      <c r="L21" s="3">
        <v>0.1</v>
      </c>
      <c r="M21" s="3">
        <v>0.1</v>
      </c>
      <c r="N21" s="3">
        <v>0.1</v>
      </c>
      <c r="O21" s="3">
        <v>7.0000000000000007E-2</v>
      </c>
      <c r="P21" s="4">
        <v>6.4299999999999999E-13</v>
      </c>
      <c r="Q21" s="4">
        <v>1.33E-11</v>
      </c>
      <c r="R21" s="4">
        <v>6.1900000000000001E-11</v>
      </c>
      <c r="S21" s="4">
        <v>9.3499999999999995E-13</v>
      </c>
      <c r="T21" s="4">
        <v>6.1900000000000001E-11</v>
      </c>
      <c r="U21" s="4">
        <v>3.8E-12</v>
      </c>
      <c r="V21" s="4">
        <v>6.6400000000000002E-7</v>
      </c>
    </row>
    <row r="22" spans="1:22" s="5" customFormat="1" x14ac:dyDescent="0.2">
      <c r="A22" s="3" t="s">
        <v>179</v>
      </c>
      <c r="B22" s="3" t="s">
        <v>36</v>
      </c>
      <c r="C22" s="3" t="s">
        <v>37</v>
      </c>
      <c r="D22" s="3" t="s">
        <v>10</v>
      </c>
      <c r="E22" s="3" t="s">
        <v>42</v>
      </c>
      <c r="F22" s="3" t="s">
        <v>226</v>
      </c>
      <c r="G22" s="10" t="s">
        <v>177</v>
      </c>
      <c r="H22" s="3">
        <v>4788</v>
      </c>
      <c r="I22" s="3">
        <v>0.32</v>
      </c>
      <c r="J22" s="3">
        <v>0.28999999999999998</v>
      </c>
      <c r="K22" s="3">
        <v>0.32</v>
      </c>
      <c r="L22" s="3">
        <v>0.32</v>
      </c>
      <c r="M22" s="3">
        <v>0.28000000000000003</v>
      </c>
      <c r="N22" s="3">
        <v>0.31</v>
      </c>
      <c r="O22" s="3">
        <v>0.32</v>
      </c>
      <c r="P22" s="4">
        <v>1.3600000000000001E-112</v>
      </c>
      <c r="Q22" s="4">
        <v>9.79E-91</v>
      </c>
      <c r="R22" s="4">
        <v>1.9800000000000001E-85</v>
      </c>
      <c r="S22" s="4">
        <v>2.8799999999999998E-115</v>
      </c>
      <c r="T22" s="4">
        <v>1.9800000000000001E-85</v>
      </c>
      <c r="U22" s="4">
        <v>1.5299999999999999E-106</v>
      </c>
      <c r="V22" s="4">
        <v>2.1099999999999999E-114</v>
      </c>
    </row>
    <row r="23" spans="1:22" s="5" customFormat="1" x14ac:dyDescent="0.2">
      <c r="A23" s="3" t="s">
        <v>179</v>
      </c>
      <c r="B23" s="3" t="s">
        <v>36</v>
      </c>
      <c r="C23" s="3" t="s">
        <v>37</v>
      </c>
      <c r="D23" s="3" t="s">
        <v>10</v>
      </c>
      <c r="E23" s="3" t="s">
        <v>43</v>
      </c>
      <c r="F23" s="3" t="s">
        <v>226</v>
      </c>
      <c r="G23" s="10" t="s">
        <v>177</v>
      </c>
      <c r="H23" s="3">
        <v>4769</v>
      </c>
      <c r="I23" s="3">
        <v>0.31</v>
      </c>
      <c r="J23" s="3">
        <v>0.26</v>
      </c>
      <c r="K23" s="3">
        <v>0.28999999999999998</v>
      </c>
      <c r="L23" s="3">
        <v>0.28999999999999998</v>
      </c>
      <c r="M23" s="3">
        <v>0.25</v>
      </c>
      <c r="N23" s="3">
        <v>0.28000000000000003</v>
      </c>
      <c r="O23" s="3">
        <v>0.28000000000000003</v>
      </c>
      <c r="P23" s="4">
        <v>1.42E-108</v>
      </c>
      <c r="Q23" s="4">
        <v>1.8599999999999999E-72</v>
      </c>
      <c r="R23" s="4">
        <v>1.19E-67</v>
      </c>
      <c r="S23" s="4">
        <v>3.3100000000000001E-90</v>
      </c>
      <c r="T23" s="4">
        <v>1.19E-67</v>
      </c>
      <c r="U23" s="4">
        <v>3.8200000000000002E-88</v>
      </c>
      <c r="V23" s="4">
        <v>8.65E-86</v>
      </c>
    </row>
    <row r="24" spans="1:22" s="5" customFormat="1" x14ac:dyDescent="0.2">
      <c r="A24" s="3" t="s">
        <v>179</v>
      </c>
      <c r="B24" s="3" t="s">
        <v>36</v>
      </c>
      <c r="C24" s="3" t="s">
        <v>37</v>
      </c>
      <c r="D24" s="3" t="s">
        <v>10</v>
      </c>
      <c r="E24" s="3" t="s">
        <v>44</v>
      </c>
      <c r="F24" s="3" t="s">
        <v>226</v>
      </c>
      <c r="G24" s="10" t="s">
        <v>177</v>
      </c>
      <c r="H24" s="3">
        <v>4788</v>
      </c>
      <c r="I24" s="3">
        <v>0.49</v>
      </c>
      <c r="J24" s="3">
        <v>0.46</v>
      </c>
      <c r="K24" s="3">
        <v>0.47</v>
      </c>
      <c r="L24" s="3">
        <v>0.47</v>
      </c>
      <c r="M24" s="3">
        <v>0.46</v>
      </c>
      <c r="N24" s="3">
        <v>0.46</v>
      </c>
      <c r="O24" s="3">
        <v>0.42</v>
      </c>
      <c r="P24" s="4">
        <v>3.7900000000000001E-284</v>
      </c>
      <c r="Q24" s="4">
        <v>5.6900000000000005E-255</v>
      </c>
      <c r="R24" s="4">
        <v>6.9200000000000003E-245</v>
      </c>
      <c r="S24" s="4">
        <v>3.59E-265</v>
      </c>
      <c r="T24" s="4">
        <v>6.9200000000000003E-245</v>
      </c>
      <c r="U24" s="4">
        <v>2.81E-248</v>
      </c>
      <c r="V24" s="4">
        <v>3.58E-205</v>
      </c>
    </row>
    <row r="25" spans="1:22" s="5" customFormat="1" x14ac:dyDescent="0.2">
      <c r="A25" s="3" t="s">
        <v>179</v>
      </c>
      <c r="B25" s="3" t="s">
        <v>36</v>
      </c>
      <c r="C25" s="3" t="s">
        <v>37</v>
      </c>
      <c r="D25" s="3" t="s">
        <v>10</v>
      </c>
      <c r="E25" s="3" t="s">
        <v>45</v>
      </c>
      <c r="F25" s="3" t="s">
        <v>226</v>
      </c>
      <c r="G25" s="10" t="s">
        <v>177</v>
      </c>
      <c r="H25" s="3">
        <v>4769</v>
      </c>
      <c r="I25" s="3">
        <v>0.46</v>
      </c>
      <c r="J25" s="3">
        <v>0.43</v>
      </c>
      <c r="K25" s="3">
        <v>0.45</v>
      </c>
      <c r="L25" s="3">
        <v>0.45</v>
      </c>
      <c r="M25" s="3">
        <v>0.42</v>
      </c>
      <c r="N25" s="3">
        <v>0.44</v>
      </c>
      <c r="O25" s="3">
        <v>0.39</v>
      </c>
      <c r="P25" s="4">
        <v>1.8799999999999999E-243</v>
      </c>
      <c r="Q25" s="4">
        <v>7.5400000000000006E-210</v>
      </c>
      <c r="R25" s="4">
        <v>8.58E-206</v>
      </c>
      <c r="S25" s="4">
        <v>7.3600000000000004E-236</v>
      </c>
      <c r="T25" s="4">
        <v>8.58E-206</v>
      </c>
      <c r="U25" s="4">
        <v>2.5199999999999998E-220</v>
      </c>
      <c r="V25" s="4">
        <v>4.5700000000000002E-172</v>
      </c>
    </row>
    <row r="26" spans="1:22" s="5" customFormat="1" x14ac:dyDescent="0.2">
      <c r="A26" s="3" t="s">
        <v>179</v>
      </c>
      <c r="B26" s="3" t="s">
        <v>36</v>
      </c>
      <c r="C26" s="3" t="s">
        <v>37</v>
      </c>
      <c r="D26" s="3" t="s">
        <v>10</v>
      </c>
      <c r="E26" s="3" t="s">
        <v>46</v>
      </c>
      <c r="F26" s="3" t="s">
        <v>226</v>
      </c>
      <c r="G26" s="10" t="s">
        <v>177</v>
      </c>
      <c r="H26" s="3">
        <v>4788</v>
      </c>
      <c r="I26" s="3">
        <v>0.62</v>
      </c>
      <c r="J26" s="3">
        <v>0.6</v>
      </c>
      <c r="K26" s="3">
        <v>0.6</v>
      </c>
      <c r="L26" s="3">
        <v>0.6</v>
      </c>
      <c r="M26" s="3">
        <v>0.6</v>
      </c>
      <c r="N26" s="3">
        <v>0.56999999999999995</v>
      </c>
      <c r="O26" s="3">
        <v>0.51</v>
      </c>
      <c r="P26" s="3">
        <v>0</v>
      </c>
      <c r="Q26" s="3">
        <v>0</v>
      </c>
      <c r="R26" s="3">
        <v>0</v>
      </c>
      <c r="S26" s="3">
        <v>0</v>
      </c>
      <c r="T26" s="4">
        <v>0</v>
      </c>
      <c r="U26" s="4">
        <v>0</v>
      </c>
      <c r="V26" s="4">
        <v>0</v>
      </c>
    </row>
    <row r="27" spans="1:22" s="5" customFormat="1" x14ac:dyDescent="0.2">
      <c r="A27" s="3" t="s">
        <v>179</v>
      </c>
      <c r="B27" s="3" t="s">
        <v>36</v>
      </c>
      <c r="C27" s="3" t="s">
        <v>37</v>
      </c>
      <c r="D27" s="3" t="s">
        <v>10</v>
      </c>
      <c r="E27" s="3" t="s">
        <v>47</v>
      </c>
      <c r="F27" s="3" t="s">
        <v>226</v>
      </c>
      <c r="G27" s="10" t="s">
        <v>177</v>
      </c>
      <c r="H27" s="3">
        <v>4769</v>
      </c>
      <c r="I27" s="3">
        <v>0.64</v>
      </c>
      <c r="J27" s="3">
        <v>0.62</v>
      </c>
      <c r="K27" s="3">
        <v>0.61</v>
      </c>
      <c r="L27" s="3">
        <v>0.61</v>
      </c>
      <c r="M27" s="3">
        <v>0.63</v>
      </c>
      <c r="N27" s="3">
        <v>0.6</v>
      </c>
      <c r="O27" s="3">
        <v>0.51</v>
      </c>
      <c r="P27" s="3">
        <v>0</v>
      </c>
      <c r="Q27" s="3">
        <v>0</v>
      </c>
      <c r="R27" s="3">
        <v>0</v>
      </c>
      <c r="S27" s="3">
        <v>0</v>
      </c>
      <c r="T27" s="4">
        <v>0</v>
      </c>
      <c r="U27" s="4">
        <v>0</v>
      </c>
      <c r="V27" s="4">
        <v>0</v>
      </c>
    </row>
    <row r="28" spans="1:22" s="5" customFormat="1" x14ac:dyDescent="0.2">
      <c r="A28" s="3" t="s">
        <v>179</v>
      </c>
      <c r="B28" s="3" t="s">
        <v>36</v>
      </c>
      <c r="C28" s="3" t="s">
        <v>37</v>
      </c>
      <c r="D28" s="3" t="s">
        <v>10</v>
      </c>
      <c r="E28" s="3" t="s">
        <v>48</v>
      </c>
      <c r="F28" s="3" t="s">
        <v>226</v>
      </c>
      <c r="G28" s="10" t="s">
        <v>13</v>
      </c>
      <c r="H28" s="3">
        <v>4788</v>
      </c>
      <c r="I28" s="15">
        <v>0.79</v>
      </c>
      <c r="J28" s="15">
        <v>0.77</v>
      </c>
      <c r="K28" s="15">
        <v>0.74</v>
      </c>
      <c r="L28" s="15">
        <v>0.75</v>
      </c>
      <c r="M28" s="3">
        <v>0.77</v>
      </c>
      <c r="N28" s="15">
        <v>0.72</v>
      </c>
      <c r="O28" s="15">
        <v>0.61</v>
      </c>
      <c r="P28" s="3">
        <v>0</v>
      </c>
      <c r="Q28" s="3">
        <v>0</v>
      </c>
      <c r="R28" s="3">
        <v>0</v>
      </c>
      <c r="S28" s="3">
        <v>0</v>
      </c>
      <c r="T28" s="4">
        <v>0</v>
      </c>
      <c r="U28" s="4">
        <v>0</v>
      </c>
      <c r="V28" s="4">
        <v>0</v>
      </c>
    </row>
    <row r="29" spans="1:22" s="5" customFormat="1" x14ac:dyDescent="0.2">
      <c r="A29" s="3" t="s">
        <v>179</v>
      </c>
      <c r="B29" s="3" t="s">
        <v>36</v>
      </c>
      <c r="C29" s="3" t="s">
        <v>37</v>
      </c>
      <c r="D29" s="3" t="s">
        <v>10</v>
      </c>
      <c r="E29" s="3" t="s">
        <v>49</v>
      </c>
      <c r="F29" s="3" t="s">
        <v>226</v>
      </c>
      <c r="G29" s="10" t="s">
        <v>177</v>
      </c>
      <c r="H29" s="3">
        <v>4769</v>
      </c>
      <c r="I29" s="3">
        <v>0.77</v>
      </c>
      <c r="J29" s="3">
        <v>0.75</v>
      </c>
      <c r="K29" s="3">
        <v>0.71</v>
      </c>
      <c r="L29" s="3">
        <v>0.72</v>
      </c>
      <c r="M29" s="3">
        <v>0.76</v>
      </c>
      <c r="N29" s="3">
        <v>0.7</v>
      </c>
      <c r="O29" s="3">
        <v>0.6</v>
      </c>
      <c r="P29" s="3">
        <v>0</v>
      </c>
      <c r="Q29" s="3">
        <v>0</v>
      </c>
      <c r="R29" s="3">
        <v>0</v>
      </c>
      <c r="S29" s="3">
        <v>0</v>
      </c>
      <c r="T29" s="4">
        <v>0</v>
      </c>
      <c r="U29" s="4">
        <v>0</v>
      </c>
      <c r="V29" s="4">
        <v>0</v>
      </c>
    </row>
    <row r="30" spans="1:22" s="5" customFormat="1" x14ac:dyDescent="0.2">
      <c r="A30" s="3" t="s">
        <v>179</v>
      </c>
      <c r="B30" s="3" t="s">
        <v>36</v>
      </c>
      <c r="C30" s="3" t="s">
        <v>37</v>
      </c>
      <c r="D30" s="3" t="s">
        <v>10</v>
      </c>
      <c r="E30" s="3" t="s">
        <v>50</v>
      </c>
      <c r="F30" s="3" t="s">
        <v>226</v>
      </c>
      <c r="G30" s="10" t="s">
        <v>177</v>
      </c>
      <c r="H30" s="3">
        <v>4788</v>
      </c>
      <c r="I30" s="3">
        <v>0.14000000000000001</v>
      </c>
      <c r="J30" s="3">
        <v>0.13</v>
      </c>
      <c r="K30" s="3">
        <v>0.14000000000000001</v>
      </c>
      <c r="L30" s="3">
        <v>0.14000000000000001</v>
      </c>
      <c r="M30" s="3">
        <v>0.12</v>
      </c>
      <c r="N30" s="3">
        <v>0.11</v>
      </c>
      <c r="O30" s="3">
        <v>0.11</v>
      </c>
      <c r="P30" s="4">
        <v>5.6500000000000002E-21</v>
      </c>
      <c r="Q30" s="4">
        <v>2.1400000000000002E-18</v>
      </c>
      <c r="R30" s="4">
        <v>8.5000000000000001E-17</v>
      </c>
      <c r="S30" s="4">
        <v>2.5599999999999998E-22</v>
      </c>
      <c r="T30" s="4">
        <v>8.5000000000000001E-17</v>
      </c>
      <c r="U30" s="4">
        <v>1.3299999999999999E-13</v>
      </c>
      <c r="V30" s="4">
        <v>1.1600000000000001E-14</v>
      </c>
    </row>
    <row r="31" spans="1:22" s="5" customFormat="1" x14ac:dyDescent="0.2">
      <c r="A31" s="3" t="s">
        <v>179</v>
      </c>
      <c r="B31" s="3" t="s">
        <v>36</v>
      </c>
      <c r="C31" s="3" t="s">
        <v>37</v>
      </c>
      <c r="D31" s="3" t="s">
        <v>10</v>
      </c>
      <c r="E31" s="3" t="s">
        <v>51</v>
      </c>
      <c r="F31" s="3" t="s">
        <v>226</v>
      </c>
      <c r="G31" s="10" t="s">
        <v>177</v>
      </c>
      <c r="H31" s="3">
        <v>4788</v>
      </c>
      <c r="I31" s="3">
        <v>0.73</v>
      </c>
      <c r="J31" s="3">
        <v>0.71</v>
      </c>
      <c r="K31" s="3">
        <v>0.69</v>
      </c>
      <c r="L31" s="3">
        <v>0.69</v>
      </c>
      <c r="M31" s="3">
        <v>0.71</v>
      </c>
      <c r="N31" s="3">
        <v>0.65</v>
      </c>
      <c r="O31" s="3">
        <v>0.56999999999999995</v>
      </c>
      <c r="P31" s="3">
        <v>0</v>
      </c>
      <c r="Q31" s="3">
        <v>0</v>
      </c>
      <c r="R31" s="3">
        <v>0</v>
      </c>
      <c r="S31" s="3">
        <v>0</v>
      </c>
      <c r="T31" s="4">
        <v>0</v>
      </c>
      <c r="U31" s="4">
        <v>0</v>
      </c>
      <c r="V31" s="4">
        <v>0</v>
      </c>
    </row>
    <row r="32" spans="1:22" s="8" customFormat="1" x14ac:dyDescent="0.2">
      <c r="A32" s="6" t="s">
        <v>179</v>
      </c>
      <c r="B32" s="6" t="s">
        <v>52</v>
      </c>
      <c r="C32" s="6" t="s">
        <v>53</v>
      </c>
      <c r="D32" s="6" t="s">
        <v>10</v>
      </c>
      <c r="E32" s="6" t="s">
        <v>54</v>
      </c>
      <c r="F32" s="6" t="s">
        <v>226</v>
      </c>
      <c r="G32" s="11" t="s">
        <v>177</v>
      </c>
      <c r="H32" s="6">
        <v>949</v>
      </c>
      <c r="I32" s="14">
        <v>0.75</v>
      </c>
      <c r="J32" s="14">
        <v>0.74</v>
      </c>
      <c r="K32" s="14">
        <v>0.65</v>
      </c>
      <c r="L32" s="14">
        <v>0.68</v>
      </c>
      <c r="M32" s="14">
        <v>0.75</v>
      </c>
      <c r="N32" s="14">
        <v>0.7</v>
      </c>
      <c r="O32" s="14">
        <v>0.59</v>
      </c>
      <c r="P32" s="7">
        <v>2.6400000000000002E-172</v>
      </c>
      <c r="Q32" s="7">
        <v>1.2599999999999999E-167</v>
      </c>
      <c r="R32" s="7">
        <v>2.77E-175</v>
      </c>
      <c r="S32" s="7">
        <v>1.01E-115</v>
      </c>
      <c r="T32" s="7">
        <v>2.77E-175</v>
      </c>
      <c r="U32" s="7">
        <v>2.5500000000000002E-139</v>
      </c>
      <c r="V32" s="7">
        <v>1.3E-90</v>
      </c>
    </row>
    <row r="33" spans="1:22" s="5" customFormat="1" x14ac:dyDescent="0.2">
      <c r="A33" s="3" t="s">
        <v>190</v>
      </c>
      <c r="B33" s="3" t="s">
        <v>55</v>
      </c>
      <c r="C33" s="3" t="s">
        <v>56</v>
      </c>
      <c r="D33" s="3" t="s">
        <v>17</v>
      </c>
      <c r="E33" s="3" t="s">
        <v>57</v>
      </c>
      <c r="F33" s="3" t="s">
        <v>226</v>
      </c>
      <c r="G33" s="10" t="s">
        <v>13</v>
      </c>
      <c r="H33" s="3">
        <v>1184</v>
      </c>
      <c r="I33" s="15">
        <v>0.59</v>
      </c>
      <c r="J33" s="15">
        <v>0.57999999999999996</v>
      </c>
      <c r="K33" s="15">
        <v>0.6</v>
      </c>
      <c r="L33" s="15">
        <v>0.61</v>
      </c>
      <c r="M33" s="15">
        <v>0.57999999999999996</v>
      </c>
      <c r="N33" s="15">
        <v>0.56000000000000005</v>
      </c>
      <c r="O33" s="15">
        <v>0.44</v>
      </c>
      <c r="P33" s="4">
        <v>4.7099999999999995E-97</v>
      </c>
      <c r="Q33" s="4">
        <v>8.29E-94</v>
      </c>
      <c r="R33" s="4">
        <v>3.27E-37</v>
      </c>
      <c r="S33" s="4">
        <v>3.9800000000000001E-43</v>
      </c>
      <c r="T33" s="4">
        <v>1.12E-107</v>
      </c>
      <c r="U33" s="4">
        <v>3.2500000000000001E-100</v>
      </c>
      <c r="V33" s="4">
        <v>2.45E-56</v>
      </c>
    </row>
    <row r="34" spans="1:22" s="8" customFormat="1" x14ac:dyDescent="0.2">
      <c r="A34" s="6" t="s">
        <v>192</v>
      </c>
      <c r="B34" s="6" t="s">
        <v>58</v>
      </c>
      <c r="C34" s="6" t="s">
        <v>59</v>
      </c>
      <c r="D34" s="6" t="s">
        <v>17</v>
      </c>
      <c r="E34" s="6" t="s">
        <v>57</v>
      </c>
      <c r="F34" s="6" t="s">
        <v>226</v>
      </c>
      <c r="G34" s="11" t="s">
        <v>13</v>
      </c>
      <c r="H34" s="6">
        <v>492</v>
      </c>
      <c r="I34" s="14">
        <v>0.59</v>
      </c>
      <c r="J34" s="14">
        <v>0.56000000000000005</v>
      </c>
      <c r="K34" s="14">
        <v>0.57999999999999996</v>
      </c>
      <c r="L34" s="14">
        <v>0.59</v>
      </c>
      <c r="M34" s="14">
        <v>0.55000000000000004</v>
      </c>
      <c r="N34" s="14">
        <v>0.46</v>
      </c>
      <c r="O34" s="14">
        <v>0.55000000000000004</v>
      </c>
      <c r="P34" s="7">
        <v>1.42E-41</v>
      </c>
      <c r="Q34" s="7">
        <v>2.0999999999999999E-36</v>
      </c>
      <c r="R34" s="7">
        <v>7.6100000000000003E-98</v>
      </c>
      <c r="S34" s="7">
        <v>4.3399999999999999E-95</v>
      </c>
      <c r="T34" s="7">
        <v>8.2900000000000001E-41</v>
      </c>
      <c r="U34" s="7">
        <v>6.7999999999999994E-27</v>
      </c>
      <c r="V34" s="7">
        <v>8.9599999999999999E-41</v>
      </c>
    </row>
    <row r="35" spans="1:22" s="5" customFormat="1" x14ac:dyDescent="0.2">
      <c r="A35" s="3" t="s">
        <v>209</v>
      </c>
      <c r="B35" s="3" t="s">
        <v>60</v>
      </c>
      <c r="C35" s="3" t="s">
        <v>61</v>
      </c>
      <c r="D35" s="3" t="s">
        <v>17</v>
      </c>
      <c r="E35" s="3" t="s">
        <v>62</v>
      </c>
      <c r="F35" s="3" t="s">
        <v>226</v>
      </c>
      <c r="G35" s="10" t="s">
        <v>13</v>
      </c>
      <c r="H35" s="3">
        <v>1729</v>
      </c>
      <c r="I35" s="15">
        <v>0.25</v>
      </c>
      <c r="J35" s="15">
        <v>0.23</v>
      </c>
      <c r="K35" s="15">
        <v>0.23</v>
      </c>
      <c r="L35" s="15">
        <v>0.25</v>
      </c>
      <c r="M35" s="15">
        <v>0.23</v>
      </c>
      <c r="N35" s="15">
        <v>0.23</v>
      </c>
      <c r="O35" s="15">
        <v>0.19</v>
      </c>
      <c r="P35" s="4">
        <v>4.5100000000000001E-25</v>
      </c>
      <c r="Q35" s="4">
        <v>1.98E-22</v>
      </c>
      <c r="R35" s="4">
        <v>8.3100000000000003E-22</v>
      </c>
      <c r="S35" s="4">
        <v>1.98E-22</v>
      </c>
      <c r="T35" s="4">
        <v>6.9100000000000001E-22</v>
      </c>
      <c r="U35" s="4">
        <v>8.86E-23</v>
      </c>
      <c r="V35" s="4">
        <v>3.6899999999999998E-16</v>
      </c>
    </row>
    <row r="36" spans="1:22" s="8" customFormat="1" x14ac:dyDescent="0.2">
      <c r="A36" s="6" t="s">
        <v>188</v>
      </c>
      <c r="B36" s="6" t="s">
        <v>63</v>
      </c>
      <c r="C36" s="6" t="s">
        <v>64</v>
      </c>
      <c r="D36" s="6" t="s">
        <v>17</v>
      </c>
      <c r="E36" s="6" t="s">
        <v>65</v>
      </c>
      <c r="F36" s="6" t="s">
        <v>226</v>
      </c>
      <c r="G36" s="11" t="s">
        <v>13</v>
      </c>
      <c r="H36" s="6">
        <v>1557</v>
      </c>
      <c r="I36" s="14">
        <v>0.57999999999999996</v>
      </c>
      <c r="J36" s="14">
        <v>0.56999999999999995</v>
      </c>
      <c r="K36" s="14">
        <v>0.57999999999999996</v>
      </c>
      <c r="L36" s="14">
        <v>0.6</v>
      </c>
      <c r="M36" s="14">
        <v>0.6</v>
      </c>
      <c r="N36" s="14">
        <v>0.53</v>
      </c>
      <c r="O36" s="14">
        <v>0.46</v>
      </c>
      <c r="P36" s="7">
        <v>3.1400000000000002E-141</v>
      </c>
      <c r="Q36" s="7">
        <v>2.0199999999999999E-134</v>
      </c>
      <c r="R36" s="7">
        <v>3.1300000000000002E-155</v>
      </c>
      <c r="S36" s="7">
        <v>4.9600000000000004E-140</v>
      </c>
      <c r="T36" s="7">
        <v>7.2900000000000003E-155</v>
      </c>
      <c r="U36" s="7">
        <v>8.3400000000000003E-116</v>
      </c>
      <c r="V36" s="7">
        <v>2.42E-82</v>
      </c>
    </row>
    <row r="37" spans="1:22" s="8" customFormat="1" x14ac:dyDescent="0.2">
      <c r="A37" s="6" t="s">
        <v>188</v>
      </c>
      <c r="B37" s="6" t="s">
        <v>63</v>
      </c>
      <c r="C37" s="6" t="s">
        <v>64</v>
      </c>
      <c r="D37" s="6" t="s">
        <v>17</v>
      </c>
      <c r="E37" s="6" t="s">
        <v>66</v>
      </c>
      <c r="F37" s="6" t="s">
        <v>226</v>
      </c>
      <c r="G37" s="11" t="s">
        <v>177</v>
      </c>
      <c r="H37" s="6">
        <v>1557</v>
      </c>
      <c r="I37" s="6">
        <v>0.31</v>
      </c>
      <c r="J37" s="6">
        <v>0.3</v>
      </c>
      <c r="K37" s="6">
        <v>0.31</v>
      </c>
      <c r="L37" s="6">
        <v>0.31</v>
      </c>
      <c r="M37" s="6">
        <v>0.28000000000000003</v>
      </c>
      <c r="N37" s="6">
        <v>0.28000000000000003</v>
      </c>
      <c r="O37" s="6">
        <v>0.22</v>
      </c>
      <c r="P37" s="7">
        <v>3.0599999999999997E-36</v>
      </c>
      <c r="Q37" s="7">
        <v>3.0300000000000001E-33</v>
      </c>
      <c r="R37" s="7">
        <v>6.0900000000000002E-29</v>
      </c>
      <c r="S37" s="7">
        <v>5.7299999999999998E-35</v>
      </c>
      <c r="T37" s="7">
        <v>5.2100000000000002E-29</v>
      </c>
      <c r="U37" s="7">
        <v>1.2699999999999999E-28</v>
      </c>
      <c r="V37" s="7">
        <v>7.9199999999999995E-18</v>
      </c>
    </row>
    <row r="38" spans="1:22" s="5" customFormat="1" x14ac:dyDescent="0.2">
      <c r="A38" s="3" t="s">
        <v>203</v>
      </c>
      <c r="B38" s="3" t="s">
        <v>67</v>
      </c>
      <c r="C38" s="3" t="s">
        <v>68</v>
      </c>
      <c r="D38" s="3" t="s">
        <v>17</v>
      </c>
      <c r="E38" s="3" t="s">
        <v>69</v>
      </c>
      <c r="F38" s="3" t="s">
        <v>226</v>
      </c>
      <c r="G38" s="10" t="s">
        <v>177</v>
      </c>
      <c r="H38" s="3">
        <v>1104</v>
      </c>
      <c r="I38" s="3">
        <v>-0.52</v>
      </c>
      <c r="J38" s="3">
        <v>-0.49</v>
      </c>
      <c r="K38" s="3">
        <v>-0.47</v>
      </c>
      <c r="L38" s="3">
        <v>-0.47</v>
      </c>
      <c r="M38" s="3">
        <v>-0.45</v>
      </c>
      <c r="N38" s="3">
        <v>-0.45</v>
      </c>
      <c r="O38" s="3">
        <v>-0.41</v>
      </c>
      <c r="P38" s="4">
        <v>1.5900000000000001E-76</v>
      </c>
      <c r="Q38" s="4">
        <v>1.5800000000000001E-67</v>
      </c>
      <c r="R38" s="4">
        <v>1.2100000000000001E-56</v>
      </c>
      <c r="S38" s="4">
        <v>4.3800000000000002E-61</v>
      </c>
      <c r="T38" s="4">
        <v>1.2100000000000001E-56</v>
      </c>
      <c r="U38" s="4">
        <v>1.07E-56</v>
      </c>
      <c r="V38" s="4">
        <v>1.33E-45</v>
      </c>
    </row>
    <row r="39" spans="1:22" s="5" customFormat="1" x14ac:dyDescent="0.2">
      <c r="A39" s="3" t="s">
        <v>204</v>
      </c>
      <c r="B39" s="3" t="s">
        <v>67</v>
      </c>
      <c r="C39" s="3" t="s">
        <v>68</v>
      </c>
      <c r="D39" s="3" t="s">
        <v>17</v>
      </c>
      <c r="E39" s="3" t="s">
        <v>70</v>
      </c>
      <c r="F39" s="3" t="s">
        <v>226</v>
      </c>
      <c r="G39" s="10" t="s">
        <v>177</v>
      </c>
      <c r="H39" s="3">
        <v>1104</v>
      </c>
      <c r="I39" s="15">
        <v>0.69</v>
      </c>
      <c r="J39" s="15">
        <v>0.64</v>
      </c>
      <c r="K39" s="15">
        <v>0.66</v>
      </c>
      <c r="L39" s="15">
        <v>0.67</v>
      </c>
      <c r="M39" s="15">
        <v>0.53</v>
      </c>
      <c r="N39" s="15">
        <v>0.63</v>
      </c>
      <c r="O39" s="15">
        <v>0.45</v>
      </c>
      <c r="P39" s="4">
        <v>3.7600000000000002E-156</v>
      </c>
      <c r="Q39" s="4">
        <v>1.0899999999999999E-127</v>
      </c>
      <c r="R39" s="4">
        <v>1.05E-80</v>
      </c>
      <c r="S39" s="4">
        <v>1.15E-141</v>
      </c>
      <c r="T39" s="4">
        <v>1.05E-80</v>
      </c>
      <c r="U39" s="4">
        <v>1.0599999999999999E-120</v>
      </c>
      <c r="V39" s="4">
        <v>6.9300000000000004E-55</v>
      </c>
    </row>
    <row r="40" spans="1:22" s="5" customFormat="1" x14ac:dyDescent="0.2">
      <c r="A40" s="3" t="s">
        <v>203</v>
      </c>
      <c r="B40" s="3" t="s">
        <v>67</v>
      </c>
      <c r="C40" s="3" t="s">
        <v>68</v>
      </c>
      <c r="D40" s="3" t="s">
        <v>17</v>
      </c>
      <c r="E40" s="3" t="s">
        <v>71</v>
      </c>
      <c r="F40" s="3" t="s">
        <v>226</v>
      </c>
      <c r="G40" s="10" t="s">
        <v>177</v>
      </c>
      <c r="H40" s="3">
        <v>1104</v>
      </c>
      <c r="I40" s="3">
        <v>0.68</v>
      </c>
      <c r="J40" s="3">
        <v>0.63</v>
      </c>
      <c r="K40" s="3">
        <v>0.66</v>
      </c>
      <c r="L40" s="3">
        <v>0.66</v>
      </c>
      <c r="M40" s="3">
        <v>0.52</v>
      </c>
      <c r="N40" s="3">
        <v>0.62</v>
      </c>
      <c r="O40" s="3">
        <v>0.43</v>
      </c>
      <c r="P40" s="4">
        <v>1.03E-151</v>
      </c>
      <c r="Q40" s="4">
        <v>2.9299999999999999E-122</v>
      </c>
      <c r="R40" s="4">
        <v>1.5099999999999999E-76</v>
      </c>
      <c r="S40" s="4">
        <v>9.2799999999999991E-137</v>
      </c>
      <c r="T40" s="4">
        <v>1.5099999999999999E-76</v>
      </c>
      <c r="U40" s="4">
        <v>1.7800000000000001E-117</v>
      </c>
      <c r="V40" s="4">
        <v>8.0900000000000002E-52</v>
      </c>
    </row>
    <row r="41" spans="1:22" s="5" customFormat="1" x14ac:dyDescent="0.2">
      <c r="A41" s="3" t="s">
        <v>203</v>
      </c>
      <c r="B41" s="3" t="s">
        <v>67</v>
      </c>
      <c r="C41" s="3" t="s">
        <v>68</v>
      </c>
      <c r="D41" s="3" t="s">
        <v>17</v>
      </c>
      <c r="E41" s="3" t="s">
        <v>72</v>
      </c>
      <c r="F41" s="3" t="s">
        <v>226</v>
      </c>
      <c r="G41" s="10" t="s">
        <v>177</v>
      </c>
      <c r="H41" s="3">
        <v>1104</v>
      </c>
      <c r="I41" s="3">
        <v>0.66</v>
      </c>
      <c r="J41" s="3">
        <v>0.6</v>
      </c>
      <c r="K41" s="3">
        <v>0.63</v>
      </c>
      <c r="L41" s="3">
        <v>0.63</v>
      </c>
      <c r="M41" s="3">
        <v>0.5</v>
      </c>
      <c r="N41" s="3">
        <v>0.6</v>
      </c>
      <c r="O41" s="3">
        <v>0.42</v>
      </c>
      <c r="P41" s="4">
        <v>5.2999999999999998E-140</v>
      </c>
      <c r="Q41" s="4">
        <v>1.3499999999999999E-110</v>
      </c>
      <c r="R41" s="4">
        <v>2.6199999999999999E-70</v>
      </c>
      <c r="S41" s="4">
        <v>1.09E-120</v>
      </c>
      <c r="T41" s="4">
        <v>2.6199999999999999E-70</v>
      </c>
      <c r="U41" s="4">
        <v>3.3E-107</v>
      </c>
      <c r="V41" s="4">
        <v>2.49E-48</v>
      </c>
    </row>
    <row r="42" spans="1:22" s="5" customFormat="1" x14ac:dyDescent="0.2">
      <c r="A42" s="3" t="s">
        <v>203</v>
      </c>
      <c r="B42" s="3" t="s">
        <v>67</v>
      </c>
      <c r="C42" s="3" t="s">
        <v>68</v>
      </c>
      <c r="D42" s="3" t="s">
        <v>17</v>
      </c>
      <c r="E42" s="3" t="s">
        <v>73</v>
      </c>
      <c r="F42" s="3" t="s">
        <v>226</v>
      </c>
      <c r="G42" s="10" t="s">
        <v>13</v>
      </c>
      <c r="H42" s="3">
        <v>1104</v>
      </c>
      <c r="I42" s="3">
        <v>0.65</v>
      </c>
      <c r="J42" s="3">
        <v>0.6</v>
      </c>
      <c r="K42" s="3">
        <v>0.63</v>
      </c>
      <c r="L42" s="3">
        <v>0.63</v>
      </c>
      <c r="M42" s="3">
        <v>0.49</v>
      </c>
      <c r="N42" s="3">
        <v>0.59</v>
      </c>
      <c r="O42" s="3">
        <v>0.41</v>
      </c>
      <c r="P42" s="4">
        <v>2.3E-133</v>
      </c>
      <c r="Q42" s="4">
        <v>2.7700000000000003E-107</v>
      </c>
      <c r="R42" s="4">
        <v>5.43E-68</v>
      </c>
      <c r="S42" s="4">
        <v>1.02E-120</v>
      </c>
      <c r="T42" s="4">
        <v>5.43E-68</v>
      </c>
      <c r="U42" s="4">
        <v>7.0900000000000004E-103</v>
      </c>
      <c r="V42" s="4">
        <v>8.07E-47</v>
      </c>
    </row>
    <row r="43" spans="1:22" s="5" customFormat="1" x14ac:dyDescent="0.2">
      <c r="A43" s="3" t="s">
        <v>203</v>
      </c>
      <c r="B43" s="3" t="s">
        <v>67</v>
      </c>
      <c r="C43" s="3" t="s">
        <v>68</v>
      </c>
      <c r="D43" s="3" t="s">
        <v>17</v>
      </c>
      <c r="E43" s="3" t="s">
        <v>74</v>
      </c>
      <c r="F43" s="3" t="s">
        <v>226</v>
      </c>
      <c r="G43" s="10" t="s">
        <v>177</v>
      </c>
      <c r="H43" s="3">
        <v>1104</v>
      </c>
      <c r="I43" s="3">
        <v>0.62</v>
      </c>
      <c r="J43" s="3">
        <v>0.56000000000000005</v>
      </c>
      <c r="K43" s="3">
        <v>0.6</v>
      </c>
      <c r="L43" s="3">
        <v>0.61</v>
      </c>
      <c r="M43" s="3">
        <v>0.45</v>
      </c>
      <c r="N43" s="3">
        <v>0.55000000000000004</v>
      </c>
      <c r="O43" s="3">
        <v>0.37</v>
      </c>
      <c r="P43" s="4">
        <v>5.1799999999999998E-118</v>
      </c>
      <c r="Q43" s="4">
        <v>1.95E-91</v>
      </c>
      <c r="R43" s="4">
        <v>1.57E-55</v>
      </c>
      <c r="S43" s="4">
        <v>5.3400000000000001E-107</v>
      </c>
      <c r="T43" s="4">
        <v>1.57E-55</v>
      </c>
      <c r="U43" s="4">
        <v>2.36E-89</v>
      </c>
      <c r="V43" s="4">
        <v>9.4999999999999993E-37</v>
      </c>
    </row>
    <row r="44" spans="1:22" s="8" customFormat="1" x14ac:dyDescent="0.2">
      <c r="A44" s="6" t="s">
        <v>205</v>
      </c>
      <c r="B44" s="6" t="s">
        <v>75</v>
      </c>
      <c r="C44" s="6" t="s">
        <v>76</v>
      </c>
      <c r="D44" s="6" t="s">
        <v>23</v>
      </c>
      <c r="E44" s="6" t="s">
        <v>77</v>
      </c>
      <c r="F44" s="6" t="s">
        <v>226</v>
      </c>
      <c r="G44" s="11" t="s">
        <v>13</v>
      </c>
      <c r="H44" s="6">
        <v>10336</v>
      </c>
      <c r="I44" s="14">
        <v>0.55000000000000004</v>
      </c>
      <c r="J44" s="14">
        <v>0.44</v>
      </c>
      <c r="K44" s="14">
        <v>0.52</v>
      </c>
      <c r="L44" s="14">
        <v>0.53</v>
      </c>
      <c r="M44" s="14">
        <v>0.41</v>
      </c>
      <c r="N44" s="14">
        <v>0.46</v>
      </c>
      <c r="O44" s="14">
        <v>0.47</v>
      </c>
      <c r="P44" s="6">
        <v>0</v>
      </c>
      <c r="Q44" s="6">
        <v>0</v>
      </c>
      <c r="R44" s="6">
        <v>0</v>
      </c>
      <c r="S44" s="6">
        <v>0</v>
      </c>
      <c r="T44" s="7">
        <v>0</v>
      </c>
      <c r="U44" s="7">
        <v>0</v>
      </c>
      <c r="V44" s="7">
        <v>0</v>
      </c>
    </row>
    <row r="45" spans="1:22" s="5" customFormat="1" x14ac:dyDescent="0.2">
      <c r="A45" s="3" t="s">
        <v>206</v>
      </c>
      <c r="B45" s="3" t="s">
        <v>78</v>
      </c>
      <c r="C45" s="3" t="s">
        <v>231</v>
      </c>
      <c r="D45" s="3" t="s">
        <v>17</v>
      </c>
      <c r="E45" s="3" t="s">
        <v>79</v>
      </c>
      <c r="F45" s="3" t="s">
        <v>228</v>
      </c>
      <c r="G45" s="10" t="s">
        <v>13</v>
      </c>
      <c r="H45" s="3">
        <v>496137</v>
      </c>
      <c r="I45" s="15">
        <v>0.53</v>
      </c>
      <c r="J45" s="15">
        <v>0.5</v>
      </c>
      <c r="K45" s="15">
        <v>0.53</v>
      </c>
      <c r="L45" s="15">
        <v>0.56999999999999995</v>
      </c>
      <c r="M45" s="15">
        <v>0.46</v>
      </c>
      <c r="N45" s="15">
        <v>0.51</v>
      </c>
      <c r="O45" s="15">
        <v>0.46</v>
      </c>
      <c r="P45" s="3">
        <v>0</v>
      </c>
      <c r="Q45" s="3">
        <v>0</v>
      </c>
      <c r="R45" s="3">
        <v>0</v>
      </c>
      <c r="S45" s="3">
        <v>0</v>
      </c>
      <c r="T45" s="4">
        <v>0</v>
      </c>
      <c r="U45" s="4">
        <v>0</v>
      </c>
      <c r="V45" s="4">
        <v>0</v>
      </c>
    </row>
    <row r="46" spans="1:22" s="8" customFormat="1" x14ac:dyDescent="0.2">
      <c r="A46" s="6" t="s">
        <v>195</v>
      </c>
      <c r="B46" s="6" t="s">
        <v>80</v>
      </c>
      <c r="C46" s="6" t="s">
        <v>81</v>
      </c>
      <c r="D46" s="6" t="s">
        <v>17</v>
      </c>
      <c r="E46" s="6" t="s">
        <v>82</v>
      </c>
      <c r="F46" s="6" t="s">
        <v>226</v>
      </c>
      <c r="G46" s="11" t="s">
        <v>13</v>
      </c>
      <c r="H46" s="6">
        <v>4103</v>
      </c>
      <c r="I46" s="14">
        <v>0.57999999999999996</v>
      </c>
      <c r="J46" s="14">
        <v>0.55000000000000004</v>
      </c>
      <c r="K46" s="14">
        <v>0.57999999999999996</v>
      </c>
      <c r="L46" s="14">
        <v>0.57999999999999996</v>
      </c>
      <c r="M46" s="14">
        <v>0.53</v>
      </c>
      <c r="N46" s="14">
        <v>0.49</v>
      </c>
      <c r="O46" s="14">
        <v>0.51</v>
      </c>
      <c r="P46" s="6">
        <v>0</v>
      </c>
      <c r="Q46" s="6">
        <v>0</v>
      </c>
      <c r="R46" s="7">
        <v>6.6599999999999998E-301</v>
      </c>
      <c r="S46" s="6">
        <v>0</v>
      </c>
      <c r="T46" s="7">
        <v>6.0300000000000003E-301</v>
      </c>
      <c r="U46" s="7">
        <v>4.8199999999999998E-246</v>
      </c>
      <c r="V46" s="7">
        <v>1.9299999999999999E-268</v>
      </c>
    </row>
    <row r="47" spans="1:22" s="5" customFormat="1" x14ac:dyDescent="0.2">
      <c r="A47" s="3" t="s">
        <v>196</v>
      </c>
      <c r="B47" s="3" t="s">
        <v>83</v>
      </c>
      <c r="C47" s="3" t="s">
        <v>84</v>
      </c>
      <c r="D47" s="3" t="s">
        <v>10</v>
      </c>
      <c r="E47" s="3" t="s">
        <v>85</v>
      </c>
      <c r="F47" s="3" t="s">
        <v>226</v>
      </c>
      <c r="G47" s="10" t="s">
        <v>177</v>
      </c>
      <c r="H47" s="3">
        <v>1311</v>
      </c>
      <c r="I47" s="3">
        <v>0.38</v>
      </c>
      <c r="J47" s="3">
        <v>0.36</v>
      </c>
      <c r="K47" s="3">
        <v>0.34</v>
      </c>
      <c r="L47" s="3">
        <v>0.35</v>
      </c>
      <c r="M47" s="3">
        <v>0.33</v>
      </c>
      <c r="N47" s="3">
        <v>0.33</v>
      </c>
      <c r="O47" s="3">
        <v>0.32</v>
      </c>
      <c r="P47" s="4">
        <v>1.5799999999999999E-45</v>
      </c>
      <c r="Q47" s="4">
        <v>1.5000000000000001E-40</v>
      </c>
      <c r="R47" s="4">
        <v>2.2999999999999999E-35</v>
      </c>
      <c r="S47" s="4">
        <v>6.33E-37</v>
      </c>
      <c r="T47" s="4">
        <v>2.2999999999999999E-35</v>
      </c>
      <c r="U47" s="4">
        <v>2.1E-35</v>
      </c>
      <c r="V47" s="4">
        <v>1.0000000000000001E-31</v>
      </c>
    </row>
    <row r="48" spans="1:22" s="5" customFormat="1" x14ac:dyDescent="0.2">
      <c r="A48" s="3" t="s">
        <v>196</v>
      </c>
      <c r="B48" s="3" t="s">
        <v>83</v>
      </c>
      <c r="C48" s="3" t="s">
        <v>84</v>
      </c>
      <c r="D48" s="3" t="s">
        <v>10</v>
      </c>
      <c r="E48" s="3" t="s">
        <v>86</v>
      </c>
      <c r="F48" s="3" t="s">
        <v>226</v>
      </c>
      <c r="G48" s="10" t="s">
        <v>13</v>
      </c>
      <c r="H48" s="3">
        <v>1311</v>
      </c>
      <c r="I48" s="15">
        <v>0.56000000000000005</v>
      </c>
      <c r="J48" s="15">
        <v>0.54</v>
      </c>
      <c r="K48" s="15">
        <v>0.57999999999999996</v>
      </c>
      <c r="L48" s="15">
        <v>0.59</v>
      </c>
      <c r="M48" s="15">
        <v>0.52</v>
      </c>
      <c r="N48" s="15">
        <v>0.5</v>
      </c>
      <c r="O48" s="15">
        <v>0.51</v>
      </c>
      <c r="P48" s="4">
        <v>2.4499999999999999E-108</v>
      </c>
      <c r="Q48" s="4">
        <v>7.8299999999999994E-102</v>
      </c>
      <c r="R48" s="4">
        <v>5.0699999999999998E-93</v>
      </c>
      <c r="S48" s="4">
        <v>8.5800000000000001E-119</v>
      </c>
      <c r="T48" s="4">
        <v>2.5200000000000001E-93</v>
      </c>
      <c r="U48" s="4">
        <v>3.2799999999999999E-84</v>
      </c>
      <c r="V48" s="4">
        <v>3.3500000000000003E-86</v>
      </c>
    </row>
    <row r="49" spans="1:22" s="8" customFormat="1" x14ac:dyDescent="0.2">
      <c r="A49" s="6" t="s">
        <v>184</v>
      </c>
      <c r="B49" s="6" t="s">
        <v>87</v>
      </c>
      <c r="C49" s="6" t="s">
        <v>88</v>
      </c>
      <c r="D49" s="6" t="s">
        <v>10</v>
      </c>
      <c r="E49" s="6" t="s">
        <v>89</v>
      </c>
      <c r="F49" s="6" t="s">
        <v>226</v>
      </c>
      <c r="G49" s="11" t="s">
        <v>177</v>
      </c>
      <c r="H49" s="6">
        <v>4265</v>
      </c>
      <c r="I49" s="6">
        <v>0.06</v>
      </c>
      <c r="J49" s="6">
        <v>0.04</v>
      </c>
      <c r="K49" s="6">
        <v>0.03</v>
      </c>
      <c r="L49" s="6">
        <v>0.03</v>
      </c>
      <c r="M49" s="6">
        <v>0.03</v>
      </c>
      <c r="N49" s="6">
        <v>0.06</v>
      </c>
      <c r="O49" s="6">
        <v>0.06</v>
      </c>
      <c r="P49" s="7">
        <v>9.2499999999999999E-5</v>
      </c>
      <c r="Q49" s="6">
        <v>6.1500000000000001E-3</v>
      </c>
      <c r="R49" s="6">
        <v>3.3000000000000002E-2</v>
      </c>
      <c r="S49" s="6">
        <v>9.3899999999999997E-2</v>
      </c>
      <c r="T49" s="7">
        <v>2.9899999999999999E-2</v>
      </c>
      <c r="U49" s="7">
        <v>1.3200000000000001E-4</v>
      </c>
      <c r="V49" s="7">
        <v>2.6400000000000001E-5</v>
      </c>
    </row>
    <row r="50" spans="1:22" s="8" customFormat="1" x14ac:dyDescent="0.2">
      <c r="A50" s="6" t="s">
        <v>207</v>
      </c>
      <c r="B50" s="6" t="s">
        <v>87</v>
      </c>
      <c r="C50" s="6" t="s">
        <v>88</v>
      </c>
      <c r="D50" s="6" t="s">
        <v>10</v>
      </c>
      <c r="E50" s="6" t="s">
        <v>90</v>
      </c>
      <c r="F50" s="6" t="s">
        <v>226</v>
      </c>
      <c r="G50" s="11" t="s">
        <v>177</v>
      </c>
      <c r="H50" s="6">
        <v>4147</v>
      </c>
      <c r="I50" s="6">
        <v>0.41</v>
      </c>
      <c r="J50" s="6">
        <v>0.39</v>
      </c>
      <c r="K50" s="6">
        <v>0.41</v>
      </c>
      <c r="L50" s="6">
        <v>0.42</v>
      </c>
      <c r="M50" s="6">
        <v>0.43</v>
      </c>
      <c r="N50" s="6">
        <v>0.39</v>
      </c>
      <c r="O50" s="6">
        <v>0.23</v>
      </c>
      <c r="P50" s="7">
        <v>8.1700000000000007E-164</v>
      </c>
      <c r="Q50" s="7">
        <v>7.8099999999999997E-152</v>
      </c>
      <c r="R50" s="7">
        <v>1.4199999999999999E-181</v>
      </c>
      <c r="S50" s="7">
        <v>4.9299999999999999E-166</v>
      </c>
      <c r="T50" s="7">
        <v>7.3999999999999994E-182</v>
      </c>
      <c r="U50" s="7">
        <v>2.3900000000000001E-150</v>
      </c>
      <c r="V50" s="7">
        <v>9.4899999999999996E-52</v>
      </c>
    </row>
    <row r="51" spans="1:22" s="8" customFormat="1" x14ac:dyDescent="0.2">
      <c r="A51" s="6" t="s">
        <v>184</v>
      </c>
      <c r="B51" s="6" t="s">
        <v>87</v>
      </c>
      <c r="C51" s="6" t="s">
        <v>88</v>
      </c>
      <c r="D51" s="6" t="s">
        <v>10</v>
      </c>
      <c r="E51" s="6" t="s">
        <v>91</v>
      </c>
      <c r="F51" s="6" t="s">
        <v>226</v>
      </c>
      <c r="G51" s="11" t="s">
        <v>177</v>
      </c>
      <c r="H51" s="6">
        <v>4117</v>
      </c>
      <c r="I51" s="6">
        <v>0.41</v>
      </c>
      <c r="J51" s="6">
        <v>0.38</v>
      </c>
      <c r="K51" s="6">
        <v>0.41</v>
      </c>
      <c r="L51" s="6">
        <v>0.42</v>
      </c>
      <c r="M51" s="6">
        <v>0.42</v>
      </c>
      <c r="N51" s="6">
        <v>0.4</v>
      </c>
      <c r="O51" s="6">
        <v>0.23</v>
      </c>
      <c r="P51" s="7">
        <v>1.06E-167</v>
      </c>
      <c r="Q51" s="7">
        <v>1.9100000000000001E-145</v>
      </c>
      <c r="R51" s="7">
        <v>1.9899999999999999E-176</v>
      </c>
      <c r="S51" s="7">
        <v>1.27E-167</v>
      </c>
      <c r="T51" s="7">
        <v>1.34E-176</v>
      </c>
      <c r="U51" s="7">
        <v>1.08E-156</v>
      </c>
      <c r="V51" s="7">
        <v>3.5600000000000001E-49</v>
      </c>
    </row>
    <row r="52" spans="1:22" s="8" customFormat="1" x14ac:dyDescent="0.2">
      <c r="A52" s="6" t="s">
        <v>184</v>
      </c>
      <c r="B52" s="6" t="s">
        <v>87</v>
      </c>
      <c r="C52" s="6" t="s">
        <v>88</v>
      </c>
      <c r="D52" s="6" t="s">
        <v>10</v>
      </c>
      <c r="E52" s="6" t="s">
        <v>92</v>
      </c>
      <c r="F52" s="6" t="s">
        <v>226</v>
      </c>
      <c r="G52" s="11" t="s">
        <v>177</v>
      </c>
      <c r="H52" s="6">
        <v>4278</v>
      </c>
      <c r="I52" s="6">
        <v>0.06</v>
      </c>
      <c r="J52" s="6">
        <v>0.05</v>
      </c>
      <c r="K52" s="6">
        <v>0.06</v>
      </c>
      <c r="L52" s="6">
        <v>7.0000000000000007E-2</v>
      </c>
      <c r="M52" s="6">
        <v>0.05</v>
      </c>
      <c r="N52" s="6">
        <v>0.06</v>
      </c>
      <c r="O52" s="6">
        <v>0.01</v>
      </c>
      <c r="P52" s="7">
        <v>2.9099999999999999E-5</v>
      </c>
      <c r="Q52" s="6">
        <v>1.49E-3</v>
      </c>
      <c r="R52" s="6">
        <v>4.8899999999999996E-4</v>
      </c>
      <c r="S52" s="6">
        <v>1.26E-4</v>
      </c>
      <c r="T52" s="7">
        <v>4.8899999999999996E-4</v>
      </c>
      <c r="U52" s="7">
        <v>7.7799999999999994E-5</v>
      </c>
      <c r="V52" s="7">
        <v>0.374</v>
      </c>
    </row>
    <row r="53" spans="1:22" s="8" customFormat="1" x14ac:dyDescent="0.2">
      <c r="A53" s="6" t="s">
        <v>184</v>
      </c>
      <c r="B53" s="6" t="s">
        <v>87</v>
      </c>
      <c r="C53" s="6" t="s">
        <v>88</v>
      </c>
      <c r="D53" s="6" t="s">
        <v>10</v>
      </c>
      <c r="E53" s="6" t="s">
        <v>93</v>
      </c>
      <c r="F53" s="6" t="s">
        <v>226</v>
      </c>
      <c r="G53" s="11" t="s">
        <v>177</v>
      </c>
      <c r="H53" s="6">
        <v>4144</v>
      </c>
      <c r="I53" s="6">
        <v>0.3</v>
      </c>
      <c r="J53" s="6">
        <v>0.28000000000000003</v>
      </c>
      <c r="K53" s="6">
        <v>0.27</v>
      </c>
      <c r="L53" s="6">
        <v>0.27</v>
      </c>
      <c r="M53" s="6">
        <v>0.3</v>
      </c>
      <c r="N53" s="6">
        <v>0.28999999999999998</v>
      </c>
      <c r="O53" s="6">
        <v>0.2</v>
      </c>
      <c r="P53" s="7">
        <v>9.8899999999999998E-85</v>
      </c>
      <c r="Q53" s="7">
        <v>2.98E-78</v>
      </c>
      <c r="R53" s="7">
        <v>4.11E-84</v>
      </c>
      <c r="S53" s="7">
        <v>1.3200000000000001E-70</v>
      </c>
      <c r="T53" s="7">
        <v>2.1600000000000001E-84</v>
      </c>
      <c r="U53" s="7">
        <v>1.53E-81</v>
      </c>
      <c r="V53" s="7">
        <v>1.9200000000000001E-38</v>
      </c>
    </row>
    <row r="54" spans="1:22" s="8" customFormat="1" x14ac:dyDescent="0.2">
      <c r="A54" s="6" t="s">
        <v>184</v>
      </c>
      <c r="B54" s="6" t="s">
        <v>87</v>
      </c>
      <c r="C54" s="6" t="s">
        <v>88</v>
      </c>
      <c r="D54" s="6" t="s">
        <v>10</v>
      </c>
      <c r="E54" s="6" t="s">
        <v>94</v>
      </c>
      <c r="F54" s="6" t="s">
        <v>226</v>
      </c>
      <c r="G54" s="11" t="s">
        <v>177</v>
      </c>
      <c r="H54" s="6">
        <v>4076</v>
      </c>
      <c r="I54" s="6">
        <v>0.6</v>
      </c>
      <c r="J54" s="6">
        <v>0.56999999999999995</v>
      </c>
      <c r="K54" s="6">
        <v>0.6</v>
      </c>
      <c r="L54" s="6">
        <v>0.62</v>
      </c>
      <c r="M54" s="6">
        <v>0.63</v>
      </c>
      <c r="N54" s="6">
        <v>0.56999999999999995</v>
      </c>
      <c r="O54" s="6">
        <v>0.31</v>
      </c>
      <c r="P54" s="6">
        <v>0</v>
      </c>
      <c r="Q54" s="6">
        <v>0</v>
      </c>
      <c r="R54" s="6">
        <v>0</v>
      </c>
      <c r="S54" s="6">
        <v>0</v>
      </c>
      <c r="T54" s="7">
        <v>0</v>
      </c>
      <c r="U54" s="7">
        <v>0</v>
      </c>
      <c r="V54" s="7">
        <v>1.11E-92</v>
      </c>
    </row>
    <row r="55" spans="1:22" s="8" customFormat="1" x14ac:dyDescent="0.2">
      <c r="A55" s="6" t="s">
        <v>184</v>
      </c>
      <c r="B55" s="6" t="s">
        <v>87</v>
      </c>
      <c r="C55" s="6" t="s">
        <v>88</v>
      </c>
      <c r="D55" s="6" t="s">
        <v>10</v>
      </c>
      <c r="E55" s="6" t="s">
        <v>95</v>
      </c>
      <c r="F55" s="6" t="s">
        <v>226</v>
      </c>
      <c r="G55" s="11" t="s">
        <v>177</v>
      </c>
      <c r="H55" s="6">
        <v>4254</v>
      </c>
      <c r="I55" s="6">
        <v>0.61</v>
      </c>
      <c r="J55" s="6">
        <v>0.57999999999999996</v>
      </c>
      <c r="K55" s="6">
        <v>0.62</v>
      </c>
      <c r="L55" s="6">
        <v>0.64</v>
      </c>
      <c r="M55" s="6">
        <v>0.64</v>
      </c>
      <c r="N55" s="6">
        <v>0.59</v>
      </c>
      <c r="O55" s="6">
        <v>0.33</v>
      </c>
      <c r="P55" s="6">
        <v>0</v>
      </c>
      <c r="Q55" s="6">
        <v>0</v>
      </c>
      <c r="R55" s="6">
        <v>0</v>
      </c>
      <c r="S55" s="6">
        <v>0</v>
      </c>
      <c r="T55" s="7">
        <v>0</v>
      </c>
      <c r="U55" s="7">
        <v>0</v>
      </c>
      <c r="V55" s="7">
        <v>1.5799999999999999E-108</v>
      </c>
    </row>
    <row r="56" spans="1:22" s="8" customFormat="1" x14ac:dyDescent="0.2">
      <c r="A56" s="6" t="s">
        <v>184</v>
      </c>
      <c r="B56" s="6" t="s">
        <v>87</v>
      </c>
      <c r="C56" s="6" t="s">
        <v>88</v>
      </c>
      <c r="D56" s="6" t="s">
        <v>10</v>
      </c>
      <c r="E56" s="6" t="s">
        <v>96</v>
      </c>
      <c r="F56" s="6" t="s">
        <v>226</v>
      </c>
      <c r="G56" s="11" t="s">
        <v>177</v>
      </c>
      <c r="H56" s="6">
        <v>4125</v>
      </c>
      <c r="I56" s="6">
        <v>0.32</v>
      </c>
      <c r="J56" s="6">
        <v>0.3</v>
      </c>
      <c r="K56" s="6">
        <v>0.28000000000000003</v>
      </c>
      <c r="L56" s="6">
        <v>0.28000000000000003</v>
      </c>
      <c r="M56" s="6">
        <v>0.31</v>
      </c>
      <c r="N56" s="6">
        <v>0.3</v>
      </c>
      <c r="O56" s="6">
        <v>0.19</v>
      </c>
      <c r="P56" s="7">
        <v>8.4700000000000001E-97</v>
      </c>
      <c r="Q56" s="7">
        <v>1.0599999999999999E-84</v>
      </c>
      <c r="R56" s="7">
        <v>1.07E-90</v>
      </c>
      <c r="S56" s="7">
        <v>9.6399999999999991E-75</v>
      </c>
      <c r="T56" s="7">
        <v>5.4500000000000001E-91</v>
      </c>
      <c r="U56" s="7">
        <v>3.6799999999999999E-85</v>
      </c>
      <c r="V56" s="7">
        <v>6.8799999999999995E-36</v>
      </c>
    </row>
    <row r="57" spans="1:22" s="8" customFormat="1" x14ac:dyDescent="0.2">
      <c r="A57" s="6" t="s">
        <v>184</v>
      </c>
      <c r="B57" s="6" t="s">
        <v>87</v>
      </c>
      <c r="C57" s="6" t="s">
        <v>88</v>
      </c>
      <c r="D57" s="6" t="s">
        <v>10</v>
      </c>
      <c r="E57" s="6" t="s">
        <v>97</v>
      </c>
      <c r="F57" s="6" t="s">
        <v>226</v>
      </c>
      <c r="G57" s="11" t="s">
        <v>177</v>
      </c>
      <c r="H57" s="6">
        <v>4001</v>
      </c>
      <c r="I57" s="6">
        <v>0.56999999999999995</v>
      </c>
      <c r="J57" s="6">
        <v>0.54</v>
      </c>
      <c r="K57" s="6">
        <v>0.55000000000000004</v>
      </c>
      <c r="L57" s="6">
        <v>0.56999999999999995</v>
      </c>
      <c r="M57" s="6">
        <v>0.59</v>
      </c>
      <c r="N57" s="6">
        <v>0.54</v>
      </c>
      <c r="O57" s="6">
        <v>0.3</v>
      </c>
      <c r="P57" s="6">
        <v>0</v>
      </c>
      <c r="Q57" s="7">
        <v>6.0900000000000005E-302</v>
      </c>
      <c r="R57" s="6">
        <v>0</v>
      </c>
      <c r="S57" s="7">
        <v>4.1400000000000002E-303</v>
      </c>
      <c r="T57" s="7">
        <v>0</v>
      </c>
      <c r="U57" s="7">
        <v>7.2199999999999998E-298</v>
      </c>
      <c r="V57" s="7">
        <v>1.76E-84</v>
      </c>
    </row>
    <row r="58" spans="1:22" s="8" customFormat="1" x14ac:dyDescent="0.2">
      <c r="A58" s="6" t="s">
        <v>184</v>
      </c>
      <c r="B58" s="6" t="s">
        <v>87</v>
      </c>
      <c r="C58" s="6" t="s">
        <v>88</v>
      </c>
      <c r="D58" s="6" t="s">
        <v>10</v>
      </c>
      <c r="E58" s="6" t="s">
        <v>98</v>
      </c>
      <c r="F58" s="6" t="s">
        <v>226</v>
      </c>
      <c r="G58" s="11" t="s">
        <v>177</v>
      </c>
      <c r="H58" s="6">
        <v>4094</v>
      </c>
      <c r="I58" s="6">
        <v>0.6</v>
      </c>
      <c r="J58" s="6">
        <v>0.56999999999999995</v>
      </c>
      <c r="K58" s="6">
        <v>0.6</v>
      </c>
      <c r="L58" s="6">
        <v>0.62</v>
      </c>
      <c r="M58" s="6">
        <v>0.63</v>
      </c>
      <c r="N58" s="6">
        <v>0.57999999999999996</v>
      </c>
      <c r="O58" s="6">
        <v>0.31</v>
      </c>
      <c r="P58" s="6">
        <v>0</v>
      </c>
      <c r="Q58" s="6">
        <v>0</v>
      </c>
      <c r="R58" s="6">
        <v>0</v>
      </c>
      <c r="S58" s="6">
        <v>0</v>
      </c>
      <c r="T58" s="7">
        <v>0</v>
      </c>
      <c r="U58" s="7">
        <v>0</v>
      </c>
      <c r="V58" s="7">
        <v>5.4099999999999996E-90</v>
      </c>
    </row>
    <row r="59" spans="1:22" s="8" customFormat="1" x14ac:dyDescent="0.2">
      <c r="A59" s="6" t="s">
        <v>184</v>
      </c>
      <c r="B59" s="6" t="s">
        <v>87</v>
      </c>
      <c r="C59" s="6" t="s">
        <v>88</v>
      </c>
      <c r="D59" s="6" t="s">
        <v>10</v>
      </c>
      <c r="E59" s="6" t="s">
        <v>99</v>
      </c>
      <c r="F59" s="6" t="s">
        <v>226</v>
      </c>
      <c r="G59" s="11" t="s">
        <v>13</v>
      </c>
      <c r="H59" s="6">
        <v>4260</v>
      </c>
      <c r="I59" s="6">
        <v>0.62</v>
      </c>
      <c r="J59" s="6">
        <v>0.6</v>
      </c>
      <c r="K59" s="6">
        <v>0.64</v>
      </c>
      <c r="L59" s="14">
        <v>0.66</v>
      </c>
      <c r="M59" s="6">
        <v>0.66</v>
      </c>
      <c r="N59" s="6">
        <v>0.6</v>
      </c>
      <c r="O59" s="6">
        <v>0.33</v>
      </c>
      <c r="P59" s="6">
        <v>0</v>
      </c>
      <c r="Q59" s="6">
        <v>0</v>
      </c>
      <c r="R59" s="6">
        <v>0</v>
      </c>
      <c r="S59" s="6">
        <v>0</v>
      </c>
      <c r="T59" s="7">
        <v>0</v>
      </c>
      <c r="U59" s="7">
        <v>0</v>
      </c>
      <c r="V59" s="7">
        <v>4.0400000000000001E-109</v>
      </c>
    </row>
    <row r="60" spans="1:22" s="8" customFormat="1" x14ac:dyDescent="0.2">
      <c r="A60" s="6" t="s">
        <v>184</v>
      </c>
      <c r="B60" s="6" t="s">
        <v>87</v>
      </c>
      <c r="C60" s="6" t="s">
        <v>88</v>
      </c>
      <c r="D60" s="6" t="s">
        <v>10</v>
      </c>
      <c r="E60" s="6" t="s">
        <v>100</v>
      </c>
      <c r="F60" s="6" t="s">
        <v>226</v>
      </c>
      <c r="G60" s="11" t="s">
        <v>177</v>
      </c>
      <c r="H60" s="6">
        <v>4187</v>
      </c>
      <c r="I60" s="6">
        <v>0.28000000000000003</v>
      </c>
      <c r="J60" s="6">
        <v>0.27</v>
      </c>
      <c r="K60" s="6">
        <v>0.25</v>
      </c>
      <c r="L60" s="6">
        <v>0.25</v>
      </c>
      <c r="M60" s="6">
        <v>0.28000000000000003</v>
      </c>
      <c r="N60" s="6">
        <v>0.28000000000000003</v>
      </c>
      <c r="O60" s="6">
        <v>0.2</v>
      </c>
      <c r="P60" s="7">
        <v>5.33E-77</v>
      </c>
      <c r="Q60" s="7">
        <v>5.3799999999999998E-69</v>
      </c>
      <c r="R60" s="7">
        <v>3.6400000000000001E-74</v>
      </c>
      <c r="S60" s="7">
        <v>8.8100000000000003E-60</v>
      </c>
      <c r="T60" s="7">
        <v>1.97E-74</v>
      </c>
      <c r="U60" s="7">
        <v>9.7500000000000003E-76</v>
      </c>
      <c r="V60" s="7">
        <v>2.1899999999999999E-39</v>
      </c>
    </row>
    <row r="61" spans="1:22" s="8" customFormat="1" x14ac:dyDescent="0.2">
      <c r="A61" s="6" t="s">
        <v>207</v>
      </c>
      <c r="B61" s="6" t="s">
        <v>87</v>
      </c>
      <c r="C61" s="6" t="s">
        <v>88</v>
      </c>
      <c r="D61" s="6" t="s">
        <v>10</v>
      </c>
      <c r="E61" s="6" t="s">
        <v>101</v>
      </c>
      <c r="F61" s="6" t="s">
        <v>226</v>
      </c>
      <c r="G61" s="11" t="s">
        <v>177</v>
      </c>
      <c r="H61" s="6">
        <v>4106</v>
      </c>
      <c r="I61" s="6">
        <v>0.59</v>
      </c>
      <c r="J61" s="6">
        <v>0.56999999999999995</v>
      </c>
      <c r="K61" s="6">
        <v>0.59</v>
      </c>
      <c r="L61" s="6">
        <v>0.6</v>
      </c>
      <c r="M61" s="6">
        <v>0.62</v>
      </c>
      <c r="N61" s="6">
        <v>0.57999999999999996</v>
      </c>
      <c r="O61" s="6">
        <v>0.36</v>
      </c>
      <c r="P61" s="6">
        <v>0</v>
      </c>
      <c r="Q61" s="6">
        <v>0</v>
      </c>
      <c r="R61" s="6">
        <v>0</v>
      </c>
      <c r="S61" s="6">
        <v>0</v>
      </c>
      <c r="T61" s="7">
        <v>0</v>
      </c>
      <c r="U61" s="7">
        <v>0</v>
      </c>
      <c r="V61" s="7">
        <v>1.45E-123</v>
      </c>
    </row>
    <row r="62" spans="1:22" s="8" customFormat="1" x14ac:dyDescent="0.2">
      <c r="A62" s="6" t="s">
        <v>184</v>
      </c>
      <c r="B62" s="6" t="s">
        <v>87</v>
      </c>
      <c r="C62" s="6" t="s">
        <v>88</v>
      </c>
      <c r="D62" s="6" t="s">
        <v>10</v>
      </c>
      <c r="E62" s="6" t="s">
        <v>102</v>
      </c>
      <c r="F62" s="6" t="s">
        <v>226</v>
      </c>
      <c r="G62" s="11" t="s">
        <v>177</v>
      </c>
      <c r="H62" s="6">
        <v>4227</v>
      </c>
      <c r="I62" s="6">
        <v>0.62</v>
      </c>
      <c r="J62" s="6">
        <v>0.6</v>
      </c>
      <c r="K62" s="6">
        <v>0.63</v>
      </c>
      <c r="L62" s="6">
        <v>0.64</v>
      </c>
      <c r="M62" s="6">
        <v>0.65</v>
      </c>
      <c r="N62" s="6">
        <v>0.61</v>
      </c>
      <c r="O62" s="6">
        <v>0.37</v>
      </c>
      <c r="P62" s="6">
        <v>0</v>
      </c>
      <c r="Q62" s="6">
        <v>0</v>
      </c>
      <c r="R62" s="6">
        <v>0</v>
      </c>
      <c r="S62" s="6">
        <v>0</v>
      </c>
      <c r="T62" s="7">
        <v>0</v>
      </c>
      <c r="U62" s="7">
        <v>0</v>
      </c>
      <c r="V62" s="7">
        <v>9.1899999999999996E-134</v>
      </c>
    </row>
    <row r="63" spans="1:22" s="8" customFormat="1" x14ac:dyDescent="0.2">
      <c r="A63" s="6" t="s">
        <v>184</v>
      </c>
      <c r="B63" s="6" t="s">
        <v>87</v>
      </c>
      <c r="C63" s="6" t="s">
        <v>88</v>
      </c>
      <c r="D63" s="6" t="s">
        <v>10</v>
      </c>
      <c r="E63" s="6" t="s">
        <v>103</v>
      </c>
      <c r="F63" s="6" t="s">
        <v>226</v>
      </c>
      <c r="G63" s="11" t="s">
        <v>177</v>
      </c>
      <c r="H63" s="6">
        <v>4256</v>
      </c>
      <c r="I63" s="6">
        <v>0.55000000000000004</v>
      </c>
      <c r="J63" s="6">
        <v>0.53</v>
      </c>
      <c r="K63" s="6">
        <v>0.56999999999999995</v>
      </c>
      <c r="L63" s="6">
        <v>0.57999999999999996</v>
      </c>
      <c r="M63" s="6">
        <v>0.57999999999999996</v>
      </c>
      <c r="N63" s="6">
        <v>0.55000000000000004</v>
      </c>
      <c r="O63" s="6">
        <v>0.33</v>
      </c>
      <c r="P63" s="6">
        <v>0</v>
      </c>
      <c r="Q63" s="7">
        <v>3.4299999999999999E-308</v>
      </c>
      <c r="R63" s="6">
        <v>0</v>
      </c>
      <c r="S63" s="6">
        <v>0</v>
      </c>
      <c r="T63" s="7">
        <v>0</v>
      </c>
      <c r="U63" s="7">
        <v>0</v>
      </c>
      <c r="V63" s="7">
        <v>5.9600000000000003E-109</v>
      </c>
    </row>
    <row r="64" spans="1:22" s="8" customFormat="1" x14ac:dyDescent="0.2">
      <c r="A64" s="6" t="s">
        <v>184</v>
      </c>
      <c r="B64" s="6" t="s">
        <v>87</v>
      </c>
      <c r="C64" s="6" t="s">
        <v>88</v>
      </c>
      <c r="D64" s="6" t="s">
        <v>10</v>
      </c>
      <c r="E64" s="6" t="s">
        <v>104</v>
      </c>
      <c r="F64" s="6" t="s">
        <v>226</v>
      </c>
      <c r="G64" s="11" t="s">
        <v>177</v>
      </c>
      <c r="H64" s="6">
        <v>4270</v>
      </c>
      <c r="I64" s="6">
        <v>0.15</v>
      </c>
      <c r="J64" s="6">
        <v>0.13</v>
      </c>
      <c r="K64" s="6">
        <v>0.11</v>
      </c>
      <c r="L64" s="6">
        <v>0.11</v>
      </c>
      <c r="M64" s="6">
        <v>0.13</v>
      </c>
      <c r="N64" s="6">
        <v>0.14000000000000001</v>
      </c>
      <c r="O64" s="6">
        <v>0.12</v>
      </c>
      <c r="P64" s="7">
        <v>5.32E-22</v>
      </c>
      <c r="Q64" s="7">
        <v>2.0100000000000001E-18</v>
      </c>
      <c r="R64" s="7">
        <v>3.3699999999999998E-17</v>
      </c>
      <c r="S64" s="7">
        <v>3.3300000000000001E-12</v>
      </c>
      <c r="T64" s="7">
        <v>2.47E-17</v>
      </c>
      <c r="U64" s="7">
        <v>1.5199999999999999E-20</v>
      </c>
      <c r="V64" s="7">
        <v>3.0799999999999998E-16</v>
      </c>
    </row>
    <row r="65" spans="1:22" s="8" customFormat="1" x14ac:dyDescent="0.2">
      <c r="A65" s="6" t="s">
        <v>184</v>
      </c>
      <c r="B65" s="6" t="s">
        <v>87</v>
      </c>
      <c r="C65" s="6" t="s">
        <v>88</v>
      </c>
      <c r="D65" s="6" t="s">
        <v>10</v>
      </c>
      <c r="E65" s="6" t="s">
        <v>105</v>
      </c>
      <c r="F65" s="6" t="s">
        <v>226</v>
      </c>
      <c r="G65" s="11" t="s">
        <v>177</v>
      </c>
      <c r="H65" s="6">
        <v>4132</v>
      </c>
      <c r="I65" s="6">
        <v>0.42</v>
      </c>
      <c r="J65" s="6">
        <v>0.4</v>
      </c>
      <c r="K65" s="6">
        <v>0.39</v>
      </c>
      <c r="L65" s="6">
        <v>0.39</v>
      </c>
      <c r="M65" s="6">
        <v>0.43</v>
      </c>
      <c r="N65" s="6">
        <v>0.4</v>
      </c>
      <c r="O65" s="6">
        <v>0.25</v>
      </c>
      <c r="P65" s="7">
        <v>3.53E-172</v>
      </c>
      <c r="Q65" s="7">
        <v>4.4700000000000003E-161</v>
      </c>
      <c r="R65" s="7">
        <v>8.8800000000000004E-182</v>
      </c>
      <c r="S65" s="7">
        <v>2.94E-147</v>
      </c>
      <c r="T65" s="7">
        <v>4.0500000000000002E-182</v>
      </c>
      <c r="U65" s="7">
        <v>9.2799999999999996E-156</v>
      </c>
      <c r="V65" s="7">
        <v>2.7799999999999999E-60</v>
      </c>
    </row>
    <row r="66" spans="1:22" s="8" customFormat="1" x14ac:dyDescent="0.2">
      <c r="A66" s="6" t="s">
        <v>184</v>
      </c>
      <c r="B66" s="6" t="s">
        <v>87</v>
      </c>
      <c r="C66" s="6" t="s">
        <v>88</v>
      </c>
      <c r="D66" s="6" t="s">
        <v>10</v>
      </c>
      <c r="E66" s="6" t="s">
        <v>106</v>
      </c>
      <c r="F66" s="6" t="s">
        <v>226</v>
      </c>
      <c r="G66" s="11" t="s">
        <v>177</v>
      </c>
      <c r="H66" s="6">
        <v>4096</v>
      </c>
      <c r="I66" s="6">
        <v>0.57999999999999996</v>
      </c>
      <c r="J66" s="6">
        <v>0.56000000000000005</v>
      </c>
      <c r="K66" s="6">
        <v>0.57999999999999996</v>
      </c>
      <c r="L66" s="6">
        <v>0.59</v>
      </c>
      <c r="M66" s="6">
        <v>0.61</v>
      </c>
      <c r="N66" s="6">
        <v>0.56000000000000005</v>
      </c>
      <c r="O66" s="6">
        <v>0.32</v>
      </c>
      <c r="P66" s="6">
        <v>0</v>
      </c>
      <c r="Q66" s="6">
        <v>0</v>
      </c>
      <c r="R66" s="6">
        <v>0</v>
      </c>
      <c r="S66" s="6">
        <v>0</v>
      </c>
      <c r="T66" s="7">
        <v>0</v>
      </c>
      <c r="U66" s="7">
        <v>0</v>
      </c>
      <c r="V66" s="7">
        <v>1.1799999999999999E-95</v>
      </c>
    </row>
    <row r="67" spans="1:22" s="8" customFormat="1" x14ac:dyDescent="0.2">
      <c r="A67" s="6" t="s">
        <v>184</v>
      </c>
      <c r="B67" s="6" t="s">
        <v>87</v>
      </c>
      <c r="C67" s="6" t="s">
        <v>88</v>
      </c>
      <c r="D67" s="6" t="s">
        <v>10</v>
      </c>
      <c r="E67" s="6" t="s">
        <v>107</v>
      </c>
      <c r="F67" s="6" t="s">
        <v>226</v>
      </c>
      <c r="G67" s="11" t="s">
        <v>177</v>
      </c>
      <c r="H67" s="6">
        <v>4184</v>
      </c>
      <c r="I67" s="16">
        <v>0.64</v>
      </c>
      <c r="J67" s="6">
        <v>0.61</v>
      </c>
      <c r="K67" s="6">
        <v>0.64</v>
      </c>
      <c r="L67" s="6">
        <v>0.65</v>
      </c>
      <c r="M67" s="6">
        <v>0.67</v>
      </c>
      <c r="N67" s="6">
        <v>0.61</v>
      </c>
      <c r="O67" s="6">
        <v>0.35</v>
      </c>
      <c r="P67" s="6">
        <v>0</v>
      </c>
      <c r="Q67" s="6">
        <v>0</v>
      </c>
      <c r="R67" s="6">
        <v>0</v>
      </c>
      <c r="S67" s="6">
        <v>0</v>
      </c>
      <c r="T67" s="7">
        <v>0</v>
      </c>
      <c r="U67" s="7">
        <v>0</v>
      </c>
      <c r="V67" s="7">
        <v>1.5300000000000001E-119</v>
      </c>
    </row>
    <row r="68" spans="1:22" s="8" customFormat="1" x14ac:dyDescent="0.2">
      <c r="A68" s="6" t="s">
        <v>184</v>
      </c>
      <c r="B68" s="6" t="s">
        <v>87</v>
      </c>
      <c r="C68" s="6" t="s">
        <v>88</v>
      </c>
      <c r="D68" s="6" t="s">
        <v>10</v>
      </c>
      <c r="E68" s="6" t="s">
        <v>108</v>
      </c>
      <c r="F68" s="6" t="s">
        <v>226</v>
      </c>
      <c r="G68" s="11" t="s">
        <v>177</v>
      </c>
      <c r="H68" s="6">
        <v>4139</v>
      </c>
      <c r="I68" s="6">
        <v>0.39</v>
      </c>
      <c r="J68" s="6">
        <v>0.37</v>
      </c>
      <c r="K68" s="6">
        <v>0.36</v>
      </c>
      <c r="L68" s="6">
        <v>0.36</v>
      </c>
      <c r="M68" s="6">
        <v>0.39</v>
      </c>
      <c r="N68" s="6">
        <v>0.38</v>
      </c>
      <c r="O68" s="6">
        <v>0.26</v>
      </c>
      <c r="P68" s="7">
        <v>1.5900000000000001E-147</v>
      </c>
      <c r="Q68" s="7">
        <v>4.3700000000000002E-137</v>
      </c>
      <c r="R68" s="7">
        <v>5.3899999999999999E-149</v>
      </c>
      <c r="S68" s="7">
        <v>5.4699999999999998E-128</v>
      </c>
      <c r="T68" s="7">
        <v>2.5100000000000002E-149</v>
      </c>
      <c r="U68" s="7">
        <v>1.8199999999999999E-139</v>
      </c>
      <c r="V68" s="7">
        <v>1.15E-63</v>
      </c>
    </row>
    <row r="69" spans="1:22" s="8" customFormat="1" x14ac:dyDescent="0.2">
      <c r="A69" s="6" t="s">
        <v>184</v>
      </c>
      <c r="B69" s="6" t="s">
        <v>87</v>
      </c>
      <c r="C69" s="6" t="s">
        <v>88</v>
      </c>
      <c r="D69" s="6" t="s">
        <v>10</v>
      </c>
      <c r="E69" s="6" t="s">
        <v>109</v>
      </c>
      <c r="F69" s="6" t="s">
        <v>226</v>
      </c>
      <c r="G69" s="11" t="s">
        <v>177</v>
      </c>
      <c r="H69" s="6">
        <v>4120</v>
      </c>
      <c r="I69" s="6">
        <v>0.6</v>
      </c>
      <c r="J69" s="6">
        <v>0.59</v>
      </c>
      <c r="K69" s="6">
        <v>0.6</v>
      </c>
      <c r="L69" s="6">
        <v>0.61</v>
      </c>
      <c r="M69" s="6">
        <v>0.63</v>
      </c>
      <c r="N69" s="6">
        <v>0.57999999999999996</v>
      </c>
      <c r="O69" s="6">
        <v>0.36</v>
      </c>
      <c r="P69" s="6">
        <v>0</v>
      </c>
      <c r="Q69" s="6">
        <v>0</v>
      </c>
      <c r="R69" s="6">
        <v>0</v>
      </c>
      <c r="S69" s="6">
        <v>0</v>
      </c>
      <c r="T69" s="7">
        <v>0</v>
      </c>
      <c r="U69" s="7">
        <v>0</v>
      </c>
      <c r="V69" s="7">
        <v>7.7700000000000001E-130</v>
      </c>
    </row>
    <row r="70" spans="1:22" s="8" customFormat="1" x14ac:dyDescent="0.2">
      <c r="A70" s="6" t="s">
        <v>184</v>
      </c>
      <c r="B70" s="6" t="s">
        <v>87</v>
      </c>
      <c r="C70" s="6" t="s">
        <v>88</v>
      </c>
      <c r="D70" s="6" t="s">
        <v>10</v>
      </c>
      <c r="E70" s="6" t="s">
        <v>110</v>
      </c>
      <c r="F70" s="6" t="s">
        <v>226</v>
      </c>
      <c r="G70" s="11" t="s">
        <v>177</v>
      </c>
      <c r="H70" s="6">
        <v>4236</v>
      </c>
      <c r="I70" s="14">
        <v>0.64</v>
      </c>
      <c r="J70" s="14">
        <v>0.62</v>
      </c>
      <c r="K70" s="14">
        <v>0.64</v>
      </c>
      <c r="L70" s="6">
        <v>0.65</v>
      </c>
      <c r="M70" s="14">
        <v>0.67</v>
      </c>
      <c r="N70" s="14">
        <v>0.62</v>
      </c>
      <c r="O70" s="14">
        <v>0.37</v>
      </c>
      <c r="P70" s="6">
        <v>0</v>
      </c>
      <c r="Q70" s="6">
        <v>0</v>
      </c>
      <c r="R70" s="6">
        <v>0</v>
      </c>
      <c r="S70" s="6">
        <v>0</v>
      </c>
      <c r="T70" s="7">
        <v>0</v>
      </c>
      <c r="U70" s="7">
        <v>0</v>
      </c>
      <c r="V70" s="7">
        <v>2.8100000000000002E-137</v>
      </c>
    </row>
    <row r="71" spans="1:22" s="8" customFormat="1" x14ac:dyDescent="0.2">
      <c r="A71" s="6" t="s">
        <v>184</v>
      </c>
      <c r="B71" s="6" t="s">
        <v>87</v>
      </c>
      <c r="C71" s="6" t="s">
        <v>88</v>
      </c>
      <c r="D71" s="6" t="s">
        <v>10</v>
      </c>
      <c r="E71" s="6" t="s">
        <v>111</v>
      </c>
      <c r="F71" s="6" t="s">
        <v>226</v>
      </c>
      <c r="G71" s="11" t="s">
        <v>177</v>
      </c>
      <c r="H71" s="6">
        <v>4240</v>
      </c>
      <c r="I71" s="6">
        <v>0.61</v>
      </c>
      <c r="J71" s="6">
        <v>0.59</v>
      </c>
      <c r="K71" s="6">
        <v>0.63</v>
      </c>
      <c r="L71" s="6">
        <v>0.64</v>
      </c>
      <c r="M71" s="6">
        <v>0.65</v>
      </c>
      <c r="N71" s="6">
        <v>0.6</v>
      </c>
      <c r="O71" s="6">
        <v>0.36</v>
      </c>
      <c r="P71" s="6">
        <v>0</v>
      </c>
      <c r="Q71" s="6">
        <v>0</v>
      </c>
      <c r="R71" s="6">
        <v>0</v>
      </c>
      <c r="S71" s="6">
        <v>0</v>
      </c>
      <c r="T71" s="7">
        <v>0</v>
      </c>
      <c r="U71" s="7">
        <v>0</v>
      </c>
      <c r="V71" s="7">
        <v>4.4699999999999998E-128</v>
      </c>
    </row>
    <row r="72" spans="1:22" s="5" customFormat="1" x14ac:dyDescent="0.2">
      <c r="A72" s="3" t="s">
        <v>208</v>
      </c>
      <c r="B72" s="3" t="s">
        <v>112</v>
      </c>
      <c r="C72" s="3" t="s">
        <v>113</v>
      </c>
      <c r="D72" s="3" t="s">
        <v>17</v>
      </c>
      <c r="E72" s="3" t="s">
        <v>114</v>
      </c>
      <c r="F72" s="3" t="s">
        <v>226</v>
      </c>
      <c r="G72" s="10" t="s">
        <v>177</v>
      </c>
      <c r="H72" s="3">
        <v>5463</v>
      </c>
      <c r="I72" s="3">
        <v>0.16</v>
      </c>
      <c r="J72" s="3">
        <v>0.13</v>
      </c>
      <c r="K72" s="3">
        <v>0.11</v>
      </c>
      <c r="L72" s="3">
        <v>0.11</v>
      </c>
      <c r="M72" s="3">
        <v>0.12</v>
      </c>
      <c r="N72" s="3">
        <v>0.1</v>
      </c>
      <c r="O72" s="3">
        <v>0.1</v>
      </c>
      <c r="P72" s="4">
        <v>8.5399999999999996E-32</v>
      </c>
      <c r="Q72" s="4">
        <v>1.8800000000000001E-21</v>
      </c>
      <c r="R72" s="4">
        <v>2.2599999999999999E-18</v>
      </c>
      <c r="S72" s="4">
        <v>3.7499999999999998E-16</v>
      </c>
      <c r="T72" s="4">
        <v>2.2599999999999999E-18</v>
      </c>
      <c r="U72" s="4">
        <v>2.5800000000000001E-13</v>
      </c>
      <c r="V72" s="4">
        <v>5.9999999999999997E-14</v>
      </c>
    </row>
    <row r="73" spans="1:22" s="5" customFormat="1" x14ac:dyDescent="0.2">
      <c r="A73" s="3" t="s">
        <v>208</v>
      </c>
      <c r="B73" s="3" t="s">
        <v>112</v>
      </c>
      <c r="C73" s="3" t="s">
        <v>113</v>
      </c>
      <c r="D73" s="3" t="s">
        <v>17</v>
      </c>
      <c r="E73" s="3" t="s">
        <v>115</v>
      </c>
      <c r="F73" s="3" t="s">
        <v>226</v>
      </c>
      <c r="G73" s="10" t="s">
        <v>177</v>
      </c>
      <c r="H73" s="3">
        <v>5463</v>
      </c>
      <c r="I73" s="15">
        <v>-0.25</v>
      </c>
      <c r="J73" s="3">
        <v>-0.21</v>
      </c>
      <c r="K73" s="15">
        <v>-0.26</v>
      </c>
      <c r="L73" s="15">
        <v>-0.27</v>
      </c>
      <c r="M73" s="15">
        <v>-0.24</v>
      </c>
      <c r="N73" s="15">
        <v>-0.25</v>
      </c>
      <c r="O73" s="15">
        <v>-0.24</v>
      </c>
      <c r="P73" s="4">
        <v>1.5999999999999999E-80</v>
      </c>
      <c r="Q73" s="4">
        <v>2.7799999999999998E-57</v>
      </c>
      <c r="R73" s="4">
        <v>2.7299999999999999E-72</v>
      </c>
      <c r="S73" s="4">
        <v>1.2299999999999999E-84</v>
      </c>
      <c r="T73" s="4">
        <v>2.7299999999999999E-72</v>
      </c>
      <c r="U73" s="4">
        <v>3.46E-77</v>
      </c>
      <c r="V73" s="4">
        <v>1.3700000000000001E-72</v>
      </c>
    </row>
    <row r="74" spans="1:22" s="5" customFormat="1" x14ac:dyDescent="0.2">
      <c r="A74" s="3" t="s">
        <v>208</v>
      </c>
      <c r="B74" s="3" t="s">
        <v>112</v>
      </c>
      <c r="C74" s="3" t="s">
        <v>113</v>
      </c>
      <c r="D74" s="3" t="s">
        <v>17</v>
      </c>
      <c r="E74" s="3" t="s">
        <v>116</v>
      </c>
      <c r="F74" s="3" t="s">
        <v>226</v>
      </c>
      <c r="G74" s="10" t="s">
        <v>177</v>
      </c>
      <c r="H74" s="3">
        <v>5463</v>
      </c>
      <c r="I74" s="3">
        <v>0.18</v>
      </c>
      <c r="J74" s="3">
        <v>0.15</v>
      </c>
      <c r="K74" s="3">
        <v>0.13</v>
      </c>
      <c r="L74" s="3">
        <v>0.13</v>
      </c>
      <c r="M74" s="3">
        <v>0.13</v>
      </c>
      <c r="N74" s="3">
        <v>0.13</v>
      </c>
      <c r="O74" s="3">
        <v>0.14000000000000001</v>
      </c>
      <c r="P74" s="4">
        <v>5.11E-39</v>
      </c>
      <c r="Q74" s="4">
        <v>3.74E-28</v>
      </c>
      <c r="R74" s="4">
        <v>1.7400000000000001E-22</v>
      </c>
      <c r="S74" s="4">
        <v>3.7700000000000001E-21</v>
      </c>
      <c r="T74" s="4">
        <v>1.7400000000000001E-22</v>
      </c>
      <c r="U74" s="4">
        <v>1.66E-20</v>
      </c>
      <c r="V74" s="4">
        <v>3.8899999999999996E-24</v>
      </c>
    </row>
    <row r="75" spans="1:22" s="5" customFormat="1" x14ac:dyDescent="0.2">
      <c r="A75" s="3" t="s">
        <v>208</v>
      </c>
      <c r="B75" s="3" t="s">
        <v>112</v>
      </c>
      <c r="C75" s="3" t="s">
        <v>113</v>
      </c>
      <c r="D75" s="3" t="s">
        <v>17</v>
      </c>
      <c r="E75" s="3" t="s">
        <v>117</v>
      </c>
      <c r="F75" s="3" t="s">
        <v>226</v>
      </c>
      <c r="G75" s="10" t="s">
        <v>13</v>
      </c>
      <c r="H75" s="3">
        <v>5463</v>
      </c>
      <c r="I75" s="3">
        <v>0.23</v>
      </c>
      <c r="J75" s="15">
        <v>0.22</v>
      </c>
      <c r="K75" s="3">
        <v>0.19</v>
      </c>
      <c r="L75" s="3">
        <v>0.19</v>
      </c>
      <c r="M75" s="3">
        <v>0.2</v>
      </c>
      <c r="N75" s="3">
        <v>0.2</v>
      </c>
      <c r="O75" s="3">
        <v>0.2</v>
      </c>
      <c r="P75" s="4">
        <v>3.3099999999999998E-67</v>
      </c>
      <c r="Q75" s="4">
        <v>7.0299999999999995E-60</v>
      </c>
      <c r="R75" s="4">
        <v>3.6899999999999998E-50</v>
      </c>
      <c r="S75" s="4">
        <v>5.9200000000000001E-48</v>
      </c>
      <c r="T75" s="4">
        <v>3.6899999999999998E-50</v>
      </c>
      <c r="U75" s="4">
        <v>2.6399999999999999E-49</v>
      </c>
      <c r="V75" s="4">
        <v>3.6799999999999999E-48</v>
      </c>
    </row>
    <row r="76" spans="1:22" s="8" customFormat="1" x14ac:dyDescent="0.2">
      <c r="A76" s="6" t="s">
        <v>180</v>
      </c>
      <c r="B76" s="6" t="s">
        <v>118</v>
      </c>
      <c r="C76" s="6" t="s">
        <v>119</v>
      </c>
      <c r="D76" s="6" t="s">
        <v>10</v>
      </c>
      <c r="E76" s="6" t="s">
        <v>120</v>
      </c>
      <c r="F76" s="6" t="s">
        <v>226</v>
      </c>
      <c r="G76" s="11" t="s">
        <v>177</v>
      </c>
      <c r="H76" s="6">
        <v>1891</v>
      </c>
      <c r="I76" s="6">
        <v>0.67</v>
      </c>
      <c r="J76" s="6">
        <v>0.65</v>
      </c>
      <c r="K76" s="6">
        <v>0.62</v>
      </c>
      <c r="L76" s="6">
        <v>0.63</v>
      </c>
      <c r="M76" s="6">
        <v>0.67</v>
      </c>
      <c r="N76" s="6">
        <v>0.63</v>
      </c>
      <c r="O76" s="6">
        <v>0.4</v>
      </c>
      <c r="P76" s="7">
        <v>5.0899999999999997E-243</v>
      </c>
      <c r="Q76" s="7">
        <v>4.2399999999999998E-229</v>
      </c>
      <c r="R76" s="7">
        <v>9.5200000000000005E-243</v>
      </c>
      <c r="S76" s="7">
        <v>1.5199999999999999E-198</v>
      </c>
      <c r="T76" s="7">
        <v>9.5200000000000005E-243</v>
      </c>
      <c r="U76" s="7">
        <v>1.01E-208</v>
      </c>
      <c r="V76" s="7">
        <v>1.9300000000000001E-72</v>
      </c>
    </row>
    <row r="77" spans="1:22" s="8" customFormat="1" x14ac:dyDescent="0.2">
      <c r="A77" s="6" t="s">
        <v>180</v>
      </c>
      <c r="B77" s="6" t="s">
        <v>118</v>
      </c>
      <c r="C77" s="6" t="s">
        <v>119</v>
      </c>
      <c r="D77" s="6" t="s">
        <v>10</v>
      </c>
      <c r="E77" s="6" t="s">
        <v>121</v>
      </c>
      <c r="F77" s="6" t="s">
        <v>226</v>
      </c>
      <c r="G77" s="11" t="s">
        <v>177</v>
      </c>
      <c r="H77" s="6">
        <v>1891</v>
      </c>
      <c r="I77" s="6">
        <v>0.63</v>
      </c>
      <c r="J77" s="6">
        <v>0.61</v>
      </c>
      <c r="K77" s="6">
        <v>0.56999999999999995</v>
      </c>
      <c r="L77" s="6">
        <v>0.57999999999999996</v>
      </c>
      <c r="M77" s="6">
        <v>0.62</v>
      </c>
      <c r="N77" s="6">
        <v>0.59</v>
      </c>
      <c r="O77" s="6">
        <v>0.37</v>
      </c>
      <c r="P77" s="7">
        <v>4.1799999999999998E-206</v>
      </c>
      <c r="Q77" s="7">
        <v>6.5899999999999996E-191</v>
      </c>
      <c r="R77" s="7">
        <v>9.3399999999999998E-201</v>
      </c>
      <c r="S77" s="7">
        <v>6.4099999999999998E-165</v>
      </c>
      <c r="T77" s="7">
        <v>9.3399999999999998E-201</v>
      </c>
      <c r="U77" s="7">
        <v>7.9500000000000005E-176</v>
      </c>
      <c r="V77" s="7">
        <v>1.04E-60</v>
      </c>
    </row>
    <row r="78" spans="1:22" s="8" customFormat="1" x14ac:dyDescent="0.2">
      <c r="A78" s="6" t="s">
        <v>180</v>
      </c>
      <c r="B78" s="6" t="s">
        <v>118</v>
      </c>
      <c r="C78" s="6" t="s">
        <v>119</v>
      </c>
      <c r="D78" s="6" t="s">
        <v>10</v>
      </c>
      <c r="E78" s="6" t="s">
        <v>122</v>
      </c>
      <c r="F78" s="6" t="s">
        <v>226</v>
      </c>
      <c r="G78" s="11" t="s">
        <v>177</v>
      </c>
      <c r="H78" s="6">
        <v>1891</v>
      </c>
      <c r="I78" s="6">
        <v>0.69</v>
      </c>
      <c r="J78" s="6">
        <v>0.67</v>
      </c>
      <c r="K78" s="6">
        <v>0.64</v>
      </c>
      <c r="L78" s="6">
        <v>0.65</v>
      </c>
      <c r="M78" s="6">
        <v>0.69</v>
      </c>
      <c r="N78" s="6">
        <v>0.66</v>
      </c>
      <c r="O78" s="6">
        <v>0.43</v>
      </c>
      <c r="P78" s="7">
        <v>3.1799999999999998E-263</v>
      </c>
      <c r="Q78" s="7">
        <v>5.1699999999999996E-243</v>
      </c>
      <c r="R78" s="7">
        <v>1.05E-263</v>
      </c>
      <c r="S78" s="7">
        <v>7.2300000000000003E-216</v>
      </c>
      <c r="T78" s="7">
        <v>1.05E-263</v>
      </c>
      <c r="U78" s="7">
        <v>3.1699999999999998E-235</v>
      </c>
      <c r="V78" s="7">
        <v>1.76E-87</v>
      </c>
    </row>
    <row r="79" spans="1:22" s="8" customFormat="1" x14ac:dyDescent="0.2">
      <c r="A79" s="6" t="s">
        <v>180</v>
      </c>
      <c r="B79" s="6" t="s">
        <v>118</v>
      </c>
      <c r="C79" s="6" t="s">
        <v>119</v>
      </c>
      <c r="D79" s="6" t="s">
        <v>10</v>
      </c>
      <c r="E79" s="6" t="s">
        <v>123</v>
      </c>
      <c r="F79" s="6" t="s">
        <v>226</v>
      </c>
      <c r="G79" s="11" t="s">
        <v>177</v>
      </c>
      <c r="H79" s="6">
        <v>1719</v>
      </c>
      <c r="I79" s="6">
        <v>0.7</v>
      </c>
      <c r="J79" s="6">
        <v>0.68</v>
      </c>
      <c r="K79" s="6">
        <v>0.64</v>
      </c>
      <c r="L79" s="6">
        <v>0.66</v>
      </c>
      <c r="M79" s="6">
        <v>0.69</v>
      </c>
      <c r="N79" s="6">
        <v>0.66</v>
      </c>
      <c r="O79" s="6">
        <v>0.41</v>
      </c>
      <c r="P79" s="7">
        <v>2.1699999999999999E-249</v>
      </c>
      <c r="Q79" s="7">
        <v>1.52E-232</v>
      </c>
      <c r="R79" s="7">
        <v>1.4100000000000001E-246</v>
      </c>
      <c r="S79" s="7">
        <v>9.0199999999999999E-203</v>
      </c>
      <c r="T79" s="7">
        <v>1.4100000000000001E-246</v>
      </c>
      <c r="U79" s="7">
        <v>1.3E-212</v>
      </c>
      <c r="V79" s="7">
        <v>4.5499999999999999E-69</v>
      </c>
    </row>
    <row r="80" spans="1:22" s="8" customFormat="1" x14ac:dyDescent="0.2">
      <c r="A80" s="6" t="s">
        <v>180</v>
      </c>
      <c r="B80" s="6" t="s">
        <v>118</v>
      </c>
      <c r="C80" s="6" t="s">
        <v>119</v>
      </c>
      <c r="D80" s="6" t="s">
        <v>10</v>
      </c>
      <c r="E80" s="6" t="s">
        <v>124</v>
      </c>
      <c r="F80" s="6" t="s">
        <v>226</v>
      </c>
      <c r="G80" s="11" t="s">
        <v>177</v>
      </c>
      <c r="H80" s="6">
        <v>1719</v>
      </c>
      <c r="I80" s="6">
        <v>0.66</v>
      </c>
      <c r="J80" s="6">
        <v>0.64</v>
      </c>
      <c r="K80" s="6">
        <v>0.61</v>
      </c>
      <c r="L80" s="6">
        <v>0.62</v>
      </c>
      <c r="M80" s="6">
        <v>0.66</v>
      </c>
      <c r="N80" s="6">
        <v>0.62</v>
      </c>
      <c r="O80" s="6">
        <v>0.37</v>
      </c>
      <c r="P80" s="7">
        <v>3.5100000000000002E-214</v>
      </c>
      <c r="Q80" s="7">
        <v>2.6799999999999998E-200</v>
      </c>
      <c r="R80" s="7">
        <v>2.5700000000000002E-212</v>
      </c>
      <c r="S80" s="7">
        <v>4.8899999999999998E-175</v>
      </c>
      <c r="T80" s="7">
        <v>2.5700000000000002E-212</v>
      </c>
      <c r="U80" s="7">
        <v>1.02E-183</v>
      </c>
      <c r="V80" s="7">
        <v>2.4299999999999999E-58</v>
      </c>
    </row>
    <row r="81" spans="1:22" s="8" customFormat="1" x14ac:dyDescent="0.2">
      <c r="A81" s="6" t="s">
        <v>180</v>
      </c>
      <c r="B81" s="6" t="s">
        <v>118</v>
      </c>
      <c r="C81" s="6" t="s">
        <v>119</v>
      </c>
      <c r="D81" s="6" t="s">
        <v>10</v>
      </c>
      <c r="E81" s="6" t="s">
        <v>125</v>
      </c>
      <c r="F81" s="6" t="s">
        <v>226</v>
      </c>
      <c r="G81" s="11" t="s">
        <v>13</v>
      </c>
      <c r="H81" s="6">
        <v>1719</v>
      </c>
      <c r="I81" s="14">
        <v>0.73</v>
      </c>
      <c r="J81" s="14">
        <v>0.7</v>
      </c>
      <c r="K81" s="14">
        <v>0.68</v>
      </c>
      <c r="L81" s="14">
        <v>0.69</v>
      </c>
      <c r="M81" s="14">
        <v>0.73</v>
      </c>
      <c r="N81" s="14">
        <v>0.69</v>
      </c>
      <c r="O81" s="14">
        <v>0.44</v>
      </c>
      <c r="P81" s="7">
        <v>5.6100000000000002E-283</v>
      </c>
      <c r="Q81" s="7">
        <v>2.4400000000000001E-257</v>
      </c>
      <c r="R81" s="7">
        <v>2.4100000000000002E-282</v>
      </c>
      <c r="S81" s="7">
        <v>4.5400000000000002E-231</v>
      </c>
      <c r="T81" s="7">
        <v>2.4100000000000002E-282</v>
      </c>
      <c r="U81" s="7">
        <v>1.8500000000000001E-247</v>
      </c>
      <c r="V81" s="7">
        <v>5.6700000000000004E-83</v>
      </c>
    </row>
    <row r="82" spans="1:22" s="5" customFormat="1" x14ac:dyDescent="0.2">
      <c r="A82" s="3" t="s">
        <v>189</v>
      </c>
      <c r="B82" s="3" t="s">
        <v>126</v>
      </c>
      <c r="C82" s="3" t="s">
        <v>127</v>
      </c>
      <c r="D82" s="3" t="s">
        <v>10</v>
      </c>
      <c r="E82" s="3" t="s">
        <v>24</v>
      </c>
      <c r="F82" s="3" t="s">
        <v>226</v>
      </c>
      <c r="G82" s="10" t="s">
        <v>13</v>
      </c>
      <c r="H82" s="3">
        <v>1519</v>
      </c>
      <c r="I82" s="15">
        <v>0.6</v>
      </c>
      <c r="J82" s="15">
        <v>0.57999999999999996</v>
      </c>
      <c r="K82" s="15">
        <v>0.48</v>
      </c>
      <c r="L82" s="15">
        <v>0.49</v>
      </c>
      <c r="M82" s="15">
        <v>0.59</v>
      </c>
      <c r="N82" s="15">
        <v>0.57999999999999996</v>
      </c>
      <c r="O82" s="15">
        <v>0.51</v>
      </c>
      <c r="P82" s="4">
        <v>2.6400000000000001E-149</v>
      </c>
      <c r="Q82" s="4">
        <v>2.07E-136</v>
      </c>
      <c r="R82" s="4">
        <v>8.0800000000000005E-142</v>
      </c>
      <c r="S82" s="4">
        <v>1.42E-87</v>
      </c>
      <c r="T82" s="4">
        <v>8.0800000000000005E-142</v>
      </c>
      <c r="U82" s="4">
        <v>3.99E-135</v>
      </c>
      <c r="V82" s="4">
        <v>1.52E-99</v>
      </c>
    </row>
    <row r="83" spans="1:22" s="8" customFormat="1" x14ac:dyDescent="0.2">
      <c r="A83" s="6" t="s">
        <v>213</v>
      </c>
      <c r="B83" s="6" t="s">
        <v>128</v>
      </c>
      <c r="C83" s="6" t="s">
        <v>129</v>
      </c>
      <c r="D83" s="6" t="s">
        <v>23</v>
      </c>
      <c r="E83" s="6" t="s">
        <v>130</v>
      </c>
      <c r="F83" s="6" t="s">
        <v>226</v>
      </c>
      <c r="G83" s="11" t="s">
        <v>13</v>
      </c>
      <c r="H83" s="6">
        <v>1848</v>
      </c>
      <c r="I83" s="14">
        <v>0.6</v>
      </c>
      <c r="J83" s="14">
        <v>0.31</v>
      </c>
      <c r="K83" s="14">
        <v>0.57999999999999996</v>
      </c>
      <c r="L83" s="14">
        <v>0.61</v>
      </c>
      <c r="M83" s="14">
        <v>0.48</v>
      </c>
      <c r="N83" s="14">
        <v>0.48</v>
      </c>
      <c r="O83" s="14">
        <v>0.48</v>
      </c>
      <c r="P83" s="7">
        <v>7.9899999999999995E-176</v>
      </c>
      <c r="Q83" s="7">
        <v>6.7800000000000001E-41</v>
      </c>
      <c r="R83" s="7">
        <v>7.4099999999999999E-106</v>
      </c>
      <c r="S83" s="7">
        <v>5.6200000000000002E-167</v>
      </c>
      <c r="T83" s="7">
        <v>4.0599999999999997E-105</v>
      </c>
      <c r="U83" s="7">
        <v>3.6000000000000001E-106</v>
      </c>
      <c r="V83" s="7">
        <v>1.4900000000000001E-109</v>
      </c>
    </row>
    <row r="84" spans="1:22" s="5" customFormat="1" x14ac:dyDescent="0.2">
      <c r="A84" s="3" t="s">
        <v>181</v>
      </c>
      <c r="B84" s="3" t="s">
        <v>131</v>
      </c>
      <c r="C84" s="3" t="s">
        <v>232</v>
      </c>
      <c r="D84" s="3" t="s">
        <v>17</v>
      </c>
      <c r="E84" s="3" t="s">
        <v>132</v>
      </c>
      <c r="F84" s="3" t="s">
        <v>229</v>
      </c>
      <c r="G84" s="10" t="s">
        <v>13</v>
      </c>
      <c r="H84" s="3">
        <v>36521</v>
      </c>
      <c r="I84" s="15">
        <v>0.69</v>
      </c>
      <c r="J84" s="15">
        <v>0.67</v>
      </c>
      <c r="K84" s="15">
        <v>0.63</v>
      </c>
      <c r="L84" s="15">
        <v>0.64</v>
      </c>
      <c r="M84" s="15">
        <v>0.71</v>
      </c>
      <c r="N84" s="15">
        <v>0.63</v>
      </c>
      <c r="O84" s="15">
        <v>0.5</v>
      </c>
      <c r="P84" s="3">
        <v>0</v>
      </c>
      <c r="Q84" s="3">
        <v>0</v>
      </c>
      <c r="R84" s="3">
        <v>0</v>
      </c>
      <c r="S84" s="3">
        <v>0</v>
      </c>
      <c r="T84" s="4">
        <v>0</v>
      </c>
      <c r="U84" s="4">
        <v>0</v>
      </c>
      <c r="V84" s="4">
        <v>0</v>
      </c>
    </row>
    <row r="85" spans="1:22" s="8" customFormat="1" x14ac:dyDescent="0.2">
      <c r="A85" s="6" t="s">
        <v>182</v>
      </c>
      <c r="B85" s="6" t="s">
        <v>133</v>
      </c>
      <c r="C85" s="6" t="s">
        <v>134</v>
      </c>
      <c r="D85" s="6" t="s">
        <v>17</v>
      </c>
      <c r="E85" s="6" t="s">
        <v>32</v>
      </c>
      <c r="F85" s="6" t="s">
        <v>226</v>
      </c>
      <c r="G85" s="11" t="s">
        <v>13</v>
      </c>
      <c r="H85" s="6">
        <v>1187</v>
      </c>
      <c r="I85" s="14">
        <v>0.66</v>
      </c>
      <c r="J85" s="14">
        <v>0.64</v>
      </c>
      <c r="K85" s="14">
        <v>0.59</v>
      </c>
      <c r="L85" s="14">
        <v>0.62</v>
      </c>
      <c r="M85" s="14">
        <v>0.69</v>
      </c>
      <c r="N85" s="14">
        <v>0.6</v>
      </c>
      <c r="O85" s="14">
        <v>0.43</v>
      </c>
      <c r="P85" s="7">
        <v>6.2300000000000003E-147</v>
      </c>
      <c r="Q85" s="7">
        <v>4.9399999999999997E-135</v>
      </c>
      <c r="R85" s="7">
        <v>3.9499999999999999E-167</v>
      </c>
      <c r="S85" s="7">
        <v>9.9400000000000001E-114</v>
      </c>
      <c r="T85" s="7">
        <v>3.9499999999999999E-167</v>
      </c>
      <c r="U85" s="7">
        <v>1.18E-117</v>
      </c>
      <c r="V85" s="7">
        <v>2.54E-54</v>
      </c>
    </row>
    <row r="86" spans="1:22" s="5" customFormat="1" x14ac:dyDescent="0.2">
      <c r="A86" s="3" t="s">
        <v>186</v>
      </c>
      <c r="B86" s="3" t="s">
        <v>135</v>
      </c>
      <c r="C86" s="3" t="s">
        <v>233</v>
      </c>
      <c r="D86" s="3" t="s">
        <v>10</v>
      </c>
      <c r="E86" s="3" t="s">
        <v>24</v>
      </c>
      <c r="F86" s="3" t="s">
        <v>228</v>
      </c>
      <c r="G86" s="10" t="s">
        <v>13</v>
      </c>
      <c r="H86" s="3">
        <v>9192</v>
      </c>
      <c r="I86" s="15">
        <v>0.49</v>
      </c>
      <c r="J86" s="15">
        <v>0.48</v>
      </c>
      <c r="K86" s="15">
        <v>0.37</v>
      </c>
      <c r="L86" s="15">
        <v>0.42</v>
      </c>
      <c r="M86" s="15">
        <v>0.45</v>
      </c>
      <c r="N86" s="15">
        <v>0.43</v>
      </c>
      <c r="O86" s="15">
        <v>0.06</v>
      </c>
      <c r="P86" s="3">
        <v>0</v>
      </c>
      <c r="Q86" s="3">
        <v>0</v>
      </c>
      <c r="R86" s="3">
        <v>0</v>
      </c>
      <c r="S86" s="3"/>
      <c r="T86" s="4">
        <v>0</v>
      </c>
      <c r="U86" s="4">
        <v>0</v>
      </c>
      <c r="V86" s="4">
        <v>7.3199999999999994E-8</v>
      </c>
    </row>
    <row r="87" spans="1:22" s="8" customFormat="1" x14ac:dyDescent="0.2">
      <c r="A87" s="6" t="s">
        <v>210</v>
      </c>
      <c r="B87" s="6" t="s">
        <v>136</v>
      </c>
      <c r="C87" s="6" t="s">
        <v>137</v>
      </c>
      <c r="D87" s="6" t="s">
        <v>23</v>
      </c>
      <c r="E87" s="6" t="s">
        <v>24</v>
      </c>
      <c r="F87" s="6" t="s">
        <v>226</v>
      </c>
      <c r="G87" s="11" t="s">
        <v>13</v>
      </c>
      <c r="H87" s="6">
        <v>1630</v>
      </c>
      <c r="I87" s="14">
        <v>0.67</v>
      </c>
      <c r="J87" s="14">
        <v>0.63</v>
      </c>
      <c r="K87" s="14">
        <v>0.63</v>
      </c>
      <c r="L87" s="14">
        <v>0.66</v>
      </c>
      <c r="M87" s="6">
        <v>0.37</v>
      </c>
      <c r="N87" s="14">
        <v>0.59</v>
      </c>
      <c r="O87" s="14">
        <v>0.65</v>
      </c>
      <c r="P87" s="7">
        <v>7.5899999999999995E-216</v>
      </c>
      <c r="Q87" s="7">
        <v>1.11E-181</v>
      </c>
      <c r="R87" s="7">
        <v>1.8099999999999999E-54</v>
      </c>
      <c r="S87" s="7">
        <v>2.8199999999999999E-180</v>
      </c>
      <c r="T87" s="7">
        <v>5.1400000000000003E-55</v>
      </c>
      <c r="U87" s="7">
        <v>3.5899999999999998E-152</v>
      </c>
      <c r="V87" s="7">
        <v>1.1000000000000001E-196</v>
      </c>
    </row>
    <row r="88" spans="1:22" s="8" customFormat="1" x14ac:dyDescent="0.2">
      <c r="A88" s="6" t="s">
        <v>210</v>
      </c>
      <c r="B88" s="6" t="s">
        <v>136</v>
      </c>
      <c r="C88" s="6" t="s">
        <v>137</v>
      </c>
      <c r="D88" s="6" t="s">
        <v>23</v>
      </c>
      <c r="E88" s="6" t="s">
        <v>138</v>
      </c>
      <c r="F88" s="6" t="s">
        <v>226</v>
      </c>
      <c r="G88" s="11" t="s">
        <v>177</v>
      </c>
      <c r="H88" s="6">
        <v>1630</v>
      </c>
      <c r="I88" s="6">
        <v>0.61</v>
      </c>
      <c r="J88" s="6">
        <v>0.57999999999999996</v>
      </c>
      <c r="K88" s="6">
        <v>0.56999999999999995</v>
      </c>
      <c r="L88" s="6">
        <v>0.59</v>
      </c>
      <c r="M88" s="14">
        <v>0.39</v>
      </c>
      <c r="N88" s="6">
        <v>0.55000000000000004</v>
      </c>
      <c r="O88" s="6">
        <v>0.6</v>
      </c>
      <c r="P88" s="7">
        <v>6.9400000000000006E-167</v>
      </c>
      <c r="Q88" s="7">
        <v>1.22E-147</v>
      </c>
      <c r="R88" s="7">
        <v>1.03E-58</v>
      </c>
      <c r="S88" s="7">
        <v>4.7999999999999997E-140</v>
      </c>
      <c r="T88" s="7">
        <v>2.3400000000000001E-59</v>
      </c>
      <c r="U88" s="7">
        <v>1.76E-130</v>
      </c>
      <c r="V88" s="7">
        <v>5.3700000000000002E-158</v>
      </c>
    </row>
    <row r="89" spans="1:22" s="8" customFormat="1" x14ac:dyDescent="0.2">
      <c r="A89" s="6" t="s">
        <v>210</v>
      </c>
      <c r="B89" s="6" t="s">
        <v>136</v>
      </c>
      <c r="C89" s="6" t="s">
        <v>137</v>
      </c>
      <c r="D89" s="6" t="s">
        <v>23</v>
      </c>
      <c r="E89" s="6" t="s">
        <v>139</v>
      </c>
      <c r="F89" s="6" t="s">
        <v>226</v>
      </c>
      <c r="G89" s="11" t="s">
        <v>177</v>
      </c>
      <c r="H89" s="6">
        <v>655</v>
      </c>
      <c r="I89" s="6">
        <v>0.13</v>
      </c>
      <c r="J89" s="6">
        <v>0.04</v>
      </c>
      <c r="K89" s="6">
        <v>0.01</v>
      </c>
      <c r="L89" s="6">
        <v>0.01</v>
      </c>
      <c r="M89" s="6">
        <v>0.17</v>
      </c>
      <c r="N89" s="6">
        <v>7.0000000000000007E-2</v>
      </c>
      <c r="O89" s="6">
        <v>0.01</v>
      </c>
      <c r="P89" s="6">
        <v>1.0399999999999999E-3</v>
      </c>
      <c r="Q89" s="6">
        <v>0.26100000000000001</v>
      </c>
      <c r="R89" s="6">
        <v>7.3599999999999998E-6</v>
      </c>
      <c r="S89" s="6">
        <v>0.73599999999999999</v>
      </c>
      <c r="T89" s="7">
        <v>6.81E-6</v>
      </c>
      <c r="U89" s="7">
        <v>9.3700000000000006E-2</v>
      </c>
      <c r="V89" s="7">
        <v>0.70199999999999996</v>
      </c>
    </row>
    <row r="90" spans="1:22" s="5" customFormat="1" x14ac:dyDescent="0.2">
      <c r="A90" s="3" t="s">
        <v>212</v>
      </c>
      <c r="B90" s="3" t="s">
        <v>140</v>
      </c>
      <c r="C90" s="3" t="s">
        <v>141</v>
      </c>
      <c r="D90" s="3" t="s">
        <v>17</v>
      </c>
      <c r="E90" s="3" t="s">
        <v>142</v>
      </c>
      <c r="F90" s="3" t="s">
        <v>226</v>
      </c>
      <c r="G90" s="10" t="s">
        <v>13</v>
      </c>
      <c r="H90" s="3">
        <v>3013</v>
      </c>
      <c r="I90" s="15">
        <v>0.49</v>
      </c>
      <c r="J90" s="15">
        <v>0.45</v>
      </c>
      <c r="K90" s="15">
        <v>0.5</v>
      </c>
      <c r="L90" s="15">
        <v>0.52</v>
      </c>
      <c r="M90" s="15">
        <v>0.42</v>
      </c>
      <c r="N90" s="15">
        <v>0.47</v>
      </c>
      <c r="O90" s="15">
        <v>0.49</v>
      </c>
      <c r="P90" s="4">
        <v>7.5899999999999998E-180</v>
      </c>
      <c r="Q90" s="4">
        <v>2.2099999999999999E-153</v>
      </c>
      <c r="R90" s="4">
        <v>5.9599999999999995E-129</v>
      </c>
      <c r="S90" s="4">
        <v>9.49E-193</v>
      </c>
      <c r="T90" s="4">
        <v>3.1100000000000001E-129</v>
      </c>
      <c r="U90" s="4">
        <v>3.1899999999999999E-167</v>
      </c>
      <c r="V90" s="4">
        <v>2.2700000000000001E-178</v>
      </c>
    </row>
    <row r="91" spans="1:22" s="8" customFormat="1" x14ac:dyDescent="0.2">
      <c r="A91" s="6" t="s">
        <v>198</v>
      </c>
      <c r="B91" s="6" t="s">
        <v>143</v>
      </c>
      <c r="C91" s="6" t="s">
        <v>144</v>
      </c>
      <c r="D91" s="6" t="s">
        <v>17</v>
      </c>
      <c r="E91" s="6" t="s">
        <v>145</v>
      </c>
      <c r="F91" s="6" t="s">
        <v>226</v>
      </c>
      <c r="G91" s="11" t="s">
        <v>177</v>
      </c>
      <c r="H91" s="6">
        <v>3078</v>
      </c>
      <c r="I91" s="6">
        <v>0.15</v>
      </c>
      <c r="J91" s="6">
        <v>0.09</v>
      </c>
      <c r="K91" s="6">
        <v>0.12</v>
      </c>
      <c r="L91" s="6">
        <v>0.13</v>
      </c>
      <c r="M91" s="6">
        <v>0.11</v>
      </c>
      <c r="N91" s="6">
        <v>0.13</v>
      </c>
      <c r="O91" s="6">
        <v>0.06</v>
      </c>
      <c r="P91" s="7">
        <v>3.9899999999999998E-16</v>
      </c>
      <c r="Q91" s="6">
        <v>3.8500000000000002E-7</v>
      </c>
      <c r="R91" s="7">
        <v>2.5699999999999999E-10</v>
      </c>
      <c r="S91" s="7">
        <v>5.0999999999999997E-12</v>
      </c>
      <c r="T91" s="7">
        <v>2.5699999999999999E-10</v>
      </c>
      <c r="U91" s="7">
        <v>6.34E-14</v>
      </c>
      <c r="V91" s="7">
        <v>3.2000000000000003E-4</v>
      </c>
    </row>
    <row r="92" spans="1:22" s="8" customFormat="1" x14ac:dyDescent="0.2">
      <c r="A92" s="6" t="s">
        <v>198</v>
      </c>
      <c r="B92" s="6" t="s">
        <v>143</v>
      </c>
      <c r="C92" s="6" t="s">
        <v>144</v>
      </c>
      <c r="D92" s="6" t="s">
        <v>17</v>
      </c>
      <c r="E92" s="6" t="s">
        <v>146</v>
      </c>
      <c r="F92" s="6" t="s">
        <v>226</v>
      </c>
      <c r="G92" s="11" t="s">
        <v>13</v>
      </c>
      <c r="H92" s="6">
        <v>3078</v>
      </c>
      <c r="I92" s="6">
        <v>0.48</v>
      </c>
      <c r="J92" s="14">
        <v>0.46</v>
      </c>
      <c r="K92" s="14">
        <v>0.46</v>
      </c>
      <c r="L92" s="14">
        <v>0.47</v>
      </c>
      <c r="M92" s="14">
        <v>0.47</v>
      </c>
      <c r="N92" s="14">
        <v>0.43</v>
      </c>
      <c r="O92" s="6">
        <v>0.43</v>
      </c>
      <c r="P92" s="7">
        <v>2.1599999999999999E-178</v>
      </c>
      <c r="Q92" s="7">
        <v>5.1100000000000002E-162</v>
      </c>
      <c r="R92" s="7">
        <v>1.1499999999999999E-168</v>
      </c>
      <c r="S92" s="7">
        <v>1.42E-160</v>
      </c>
      <c r="T92" s="7">
        <v>1.1499999999999999E-168</v>
      </c>
      <c r="U92" s="7">
        <v>9.23E-141</v>
      </c>
      <c r="V92" s="7">
        <v>7.3399999999999996E-136</v>
      </c>
    </row>
    <row r="93" spans="1:22" s="8" customFormat="1" x14ac:dyDescent="0.2">
      <c r="A93" s="6" t="s">
        <v>198</v>
      </c>
      <c r="B93" s="6" t="s">
        <v>143</v>
      </c>
      <c r="C93" s="6" t="s">
        <v>144</v>
      </c>
      <c r="D93" s="6" t="s">
        <v>17</v>
      </c>
      <c r="E93" s="6" t="s">
        <v>147</v>
      </c>
      <c r="F93" s="6" t="s">
        <v>226</v>
      </c>
      <c r="G93" s="11" t="s">
        <v>177</v>
      </c>
      <c r="H93" s="6">
        <v>3078</v>
      </c>
      <c r="I93" s="14">
        <v>0.49</v>
      </c>
      <c r="J93" s="6">
        <v>0.44</v>
      </c>
      <c r="K93" s="6">
        <v>0.45</v>
      </c>
      <c r="L93" s="6">
        <v>0.47</v>
      </c>
      <c r="M93" s="6">
        <v>0.47</v>
      </c>
      <c r="N93" s="6">
        <v>0.43</v>
      </c>
      <c r="O93" s="14">
        <v>0.45</v>
      </c>
      <c r="P93" s="7">
        <v>5.2399999999999997E-182</v>
      </c>
      <c r="Q93" s="7">
        <v>3.5699999999999998E-147</v>
      </c>
      <c r="R93" s="7">
        <v>5.2299999999999998E-166</v>
      </c>
      <c r="S93" s="7">
        <v>5.4200000000000002E-154</v>
      </c>
      <c r="T93" s="7">
        <v>5.2299999999999998E-166</v>
      </c>
      <c r="U93" s="7">
        <v>3.4E-136</v>
      </c>
      <c r="V93" s="7">
        <v>2.0000000000000001E-156</v>
      </c>
    </row>
    <row r="94" spans="1:22" s="5" customFormat="1" x14ac:dyDescent="0.2">
      <c r="A94" s="3" t="s">
        <v>199</v>
      </c>
      <c r="B94" s="3" t="s">
        <v>148</v>
      </c>
      <c r="C94" s="3" t="s">
        <v>149</v>
      </c>
      <c r="D94" s="3" t="s">
        <v>17</v>
      </c>
      <c r="E94" s="3" t="s">
        <v>82</v>
      </c>
      <c r="F94" s="3" t="s">
        <v>226</v>
      </c>
      <c r="G94" s="10" t="s">
        <v>177</v>
      </c>
      <c r="H94" s="3">
        <v>1159</v>
      </c>
      <c r="I94" s="15">
        <v>0.54</v>
      </c>
      <c r="J94" s="15">
        <v>0.5</v>
      </c>
      <c r="K94" s="15">
        <v>0.52</v>
      </c>
      <c r="L94" s="15">
        <v>0.54</v>
      </c>
      <c r="M94" s="15">
        <v>0.49</v>
      </c>
      <c r="N94" s="15">
        <v>0.45</v>
      </c>
      <c r="O94" s="15">
        <v>0.41</v>
      </c>
      <c r="P94" s="4">
        <v>6.7300000000000001E-88</v>
      </c>
      <c r="Q94" s="4">
        <v>4.3600000000000003E-74</v>
      </c>
      <c r="R94" s="4">
        <v>9.6900000000000005E-71</v>
      </c>
      <c r="S94" s="4">
        <v>6.1599999999999999E-81</v>
      </c>
      <c r="T94" s="4">
        <v>5.66E-71</v>
      </c>
      <c r="U94" s="4">
        <v>2.7699999999999998E-59</v>
      </c>
      <c r="V94" s="4">
        <v>8.6500000000000001E-49</v>
      </c>
    </row>
    <row r="95" spans="1:22" s="8" customFormat="1" x14ac:dyDescent="0.2">
      <c r="A95" s="6" t="s">
        <v>199</v>
      </c>
      <c r="B95" s="6" t="s">
        <v>150</v>
      </c>
      <c r="C95" s="6" t="s">
        <v>151</v>
      </c>
      <c r="D95" s="6" t="s">
        <v>17</v>
      </c>
      <c r="E95" s="6" t="s">
        <v>152</v>
      </c>
      <c r="F95" s="6" t="s">
        <v>226</v>
      </c>
      <c r="G95" s="11" t="s">
        <v>177</v>
      </c>
      <c r="H95" s="6">
        <v>1293</v>
      </c>
      <c r="I95" s="14">
        <v>0.5</v>
      </c>
      <c r="J95" s="14">
        <v>0.45</v>
      </c>
      <c r="K95" s="14">
        <v>0.5</v>
      </c>
      <c r="L95" s="14">
        <v>0.53</v>
      </c>
      <c r="M95" s="14">
        <v>0.42</v>
      </c>
      <c r="N95" s="14">
        <v>0.4</v>
      </c>
      <c r="O95" s="14">
        <v>0.47</v>
      </c>
      <c r="P95" s="7">
        <v>1.4499999999999999E-82</v>
      </c>
      <c r="Q95" s="7">
        <v>1.47E-64</v>
      </c>
      <c r="R95" s="7">
        <v>3.4799999999999997E-57</v>
      </c>
      <c r="S95" s="7">
        <v>3.4899999999999999E-81</v>
      </c>
      <c r="T95" s="7">
        <v>2.94E-57</v>
      </c>
      <c r="U95" s="7">
        <v>2.8500000000000002E-50</v>
      </c>
      <c r="V95" s="7">
        <v>1.19E-71</v>
      </c>
    </row>
    <row r="96" spans="1:22" s="5" customFormat="1" x14ac:dyDescent="0.2">
      <c r="A96" s="3" t="s">
        <v>199</v>
      </c>
      <c r="B96" s="3" t="s">
        <v>153</v>
      </c>
      <c r="C96" s="3" t="s">
        <v>154</v>
      </c>
      <c r="D96" s="3" t="s">
        <v>17</v>
      </c>
      <c r="E96" s="3" t="s">
        <v>155</v>
      </c>
      <c r="F96" s="3" t="s">
        <v>226</v>
      </c>
      <c r="G96" s="10" t="s">
        <v>13</v>
      </c>
      <c r="H96" s="3">
        <v>1167</v>
      </c>
      <c r="I96" s="15">
        <v>0.55000000000000004</v>
      </c>
      <c r="J96" s="15">
        <v>0.51</v>
      </c>
      <c r="K96" s="15">
        <v>0.54</v>
      </c>
      <c r="L96" s="15">
        <v>0.56000000000000005</v>
      </c>
      <c r="M96" s="15">
        <v>0.51</v>
      </c>
      <c r="N96" s="15">
        <v>0.45</v>
      </c>
      <c r="O96" s="15">
        <v>0.47</v>
      </c>
      <c r="P96" s="4">
        <v>8.74E-92</v>
      </c>
      <c r="Q96" s="4">
        <v>1.56E-78</v>
      </c>
      <c r="R96" s="4">
        <v>1.1800000000000001E-77</v>
      </c>
      <c r="S96" s="4">
        <v>4.2599999999999997E-90</v>
      </c>
      <c r="T96" s="4">
        <v>6.1500000000000002E-78</v>
      </c>
      <c r="U96" s="4">
        <v>4.3900000000000003E-59</v>
      </c>
      <c r="V96" s="4">
        <v>3.6700000000000003E-64</v>
      </c>
    </row>
    <row r="97" spans="1:22" s="5" customFormat="1" x14ac:dyDescent="0.2">
      <c r="A97" s="3" t="s">
        <v>199</v>
      </c>
      <c r="B97" s="3" t="s">
        <v>153</v>
      </c>
      <c r="C97" s="3" t="s">
        <v>154</v>
      </c>
      <c r="D97" s="3" t="s">
        <v>17</v>
      </c>
      <c r="E97" s="3" t="s">
        <v>156</v>
      </c>
      <c r="F97" s="3" t="s">
        <v>226</v>
      </c>
      <c r="G97" s="10" t="s">
        <v>177</v>
      </c>
      <c r="H97" s="3">
        <v>1199</v>
      </c>
      <c r="I97" s="3">
        <v>0.49</v>
      </c>
      <c r="J97" s="3">
        <v>0.45</v>
      </c>
      <c r="K97" s="3">
        <v>0.46</v>
      </c>
      <c r="L97" s="3">
        <v>0.48</v>
      </c>
      <c r="M97" s="3">
        <v>0.45</v>
      </c>
      <c r="N97" s="3">
        <v>0.41</v>
      </c>
      <c r="O97" s="3">
        <v>0.38</v>
      </c>
      <c r="P97" s="4">
        <v>1.7699999999999998E-74</v>
      </c>
      <c r="Q97" s="4">
        <v>1.12E-60</v>
      </c>
      <c r="R97" s="4">
        <v>1.0600000000000001E-59</v>
      </c>
      <c r="S97" s="4">
        <v>1.3499999999999999E-64</v>
      </c>
      <c r="T97" s="4">
        <v>7.4600000000000005E-60</v>
      </c>
      <c r="U97" s="4">
        <v>9.03E-50</v>
      </c>
      <c r="V97" s="4">
        <v>4.1199999999999999E-42</v>
      </c>
    </row>
    <row r="98" spans="1:22" s="5" customFormat="1" x14ac:dyDescent="0.2">
      <c r="A98" s="3" t="s">
        <v>199</v>
      </c>
      <c r="B98" s="3" t="s">
        <v>153</v>
      </c>
      <c r="C98" s="3" t="s">
        <v>154</v>
      </c>
      <c r="D98" s="3" t="s">
        <v>17</v>
      </c>
      <c r="E98" s="3" t="s">
        <v>157</v>
      </c>
      <c r="F98" s="3" t="s">
        <v>226</v>
      </c>
      <c r="G98" s="10" t="s">
        <v>177</v>
      </c>
      <c r="H98" s="3">
        <v>1164</v>
      </c>
      <c r="I98" s="3">
        <v>0.49</v>
      </c>
      <c r="J98" s="3">
        <v>0.42</v>
      </c>
      <c r="K98" s="3">
        <v>0.48</v>
      </c>
      <c r="L98" s="3">
        <v>0.5</v>
      </c>
      <c r="M98" s="3">
        <v>0.46</v>
      </c>
      <c r="N98" s="3">
        <v>0.39</v>
      </c>
      <c r="O98" s="3">
        <v>0.4</v>
      </c>
      <c r="P98" s="4">
        <v>2.6599999999999999E-71</v>
      </c>
      <c r="Q98" s="4">
        <v>2.03E-51</v>
      </c>
      <c r="R98" s="4">
        <v>1.4400000000000001E-60</v>
      </c>
      <c r="S98" s="4">
        <v>2.3899999999999998E-69</v>
      </c>
      <c r="T98" s="4">
        <v>8.6999999999999998E-61</v>
      </c>
      <c r="U98" s="4">
        <v>2.4099999999999999E-44</v>
      </c>
      <c r="V98" s="4">
        <v>2.2300000000000001E-45</v>
      </c>
    </row>
    <row r="99" spans="1:22" s="5" customFormat="1" x14ac:dyDescent="0.2">
      <c r="A99" s="3" t="s">
        <v>199</v>
      </c>
      <c r="B99" s="3" t="s">
        <v>153</v>
      </c>
      <c r="C99" s="3" t="s">
        <v>154</v>
      </c>
      <c r="D99" s="3" t="s">
        <v>17</v>
      </c>
      <c r="E99" s="3" t="s">
        <v>158</v>
      </c>
      <c r="F99" s="3" t="s">
        <v>226</v>
      </c>
      <c r="G99" s="10" t="s">
        <v>177</v>
      </c>
      <c r="H99" s="3">
        <v>1154</v>
      </c>
      <c r="I99" s="3">
        <v>0.47</v>
      </c>
      <c r="J99" s="3">
        <v>0.43</v>
      </c>
      <c r="K99" s="3">
        <v>0.45</v>
      </c>
      <c r="L99" s="3">
        <v>0.45</v>
      </c>
      <c r="M99" s="3">
        <v>0.44</v>
      </c>
      <c r="N99" s="3">
        <v>0.4</v>
      </c>
      <c r="O99" s="3">
        <v>0.35</v>
      </c>
      <c r="P99" s="4">
        <v>4.7399999999999999E-64</v>
      </c>
      <c r="Q99" s="4">
        <v>1.4500000000000001E-52</v>
      </c>
      <c r="R99" s="4">
        <v>1.25E-55</v>
      </c>
      <c r="S99" s="4">
        <v>2.5700000000000002E-57</v>
      </c>
      <c r="T99" s="4">
        <v>7.3399999999999999E-56</v>
      </c>
      <c r="U99" s="4">
        <v>2.3800000000000001E-45</v>
      </c>
      <c r="V99" s="4">
        <v>2.89E-35</v>
      </c>
    </row>
    <row r="100" spans="1:22" s="5" customFormat="1" x14ac:dyDescent="0.2">
      <c r="A100" s="3" t="s">
        <v>199</v>
      </c>
      <c r="B100" s="3" t="s">
        <v>153</v>
      </c>
      <c r="C100" s="3" t="s">
        <v>154</v>
      </c>
      <c r="D100" s="3" t="s">
        <v>17</v>
      </c>
      <c r="E100" s="3" t="s">
        <v>159</v>
      </c>
      <c r="F100" s="3" t="s">
        <v>226</v>
      </c>
      <c r="G100" s="10" t="s">
        <v>177</v>
      </c>
      <c r="H100" s="3">
        <v>1140</v>
      </c>
      <c r="I100" s="3">
        <v>0.48</v>
      </c>
      <c r="J100" s="3">
        <v>0.45</v>
      </c>
      <c r="K100" s="3">
        <v>0.48</v>
      </c>
      <c r="L100" s="3">
        <v>0.49</v>
      </c>
      <c r="M100" s="3">
        <v>0.44</v>
      </c>
      <c r="N100" s="3">
        <v>0.41</v>
      </c>
      <c r="O100" s="3">
        <v>0.37</v>
      </c>
      <c r="P100" s="4">
        <v>2.7599999999999998E-66</v>
      </c>
      <c r="Q100" s="4">
        <v>1.2499999999999999E-58</v>
      </c>
      <c r="R100" s="4">
        <v>2.0299999999999999E-54</v>
      </c>
      <c r="S100" s="4">
        <v>2.6000000000000001E-65</v>
      </c>
      <c r="T100" s="4">
        <v>1.4600000000000001E-54</v>
      </c>
      <c r="U100" s="4">
        <v>3.7599999999999998E-47</v>
      </c>
      <c r="V100" s="4">
        <v>1.27E-38</v>
      </c>
    </row>
    <row r="101" spans="1:22" s="8" customFormat="1" x14ac:dyDescent="0.2">
      <c r="A101" s="6" t="s">
        <v>211</v>
      </c>
      <c r="B101" s="6" t="s">
        <v>160</v>
      </c>
      <c r="C101" s="6" t="s">
        <v>161</v>
      </c>
      <c r="D101" s="6" t="s">
        <v>17</v>
      </c>
      <c r="E101" s="6" t="s">
        <v>62</v>
      </c>
      <c r="F101" s="6" t="s">
        <v>226</v>
      </c>
      <c r="G101" s="11" t="s">
        <v>13</v>
      </c>
      <c r="H101" s="6">
        <v>1328</v>
      </c>
      <c r="I101" s="14">
        <v>0.54</v>
      </c>
      <c r="J101" s="14">
        <v>0.51</v>
      </c>
      <c r="K101" s="14">
        <v>0.5</v>
      </c>
      <c r="L101" s="14">
        <v>0.51</v>
      </c>
      <c r="M101" s="14">
        <v>0.48</v>
      </c>
      <c r="N101" s="14">
        <v>0.4</v>
      </c>
      <c r="O101" s="14">
        <v>0.51</v>
      </c>
      <c r="P101" s="7">
        <v>1.53E-99</v>
      </c>
      <c r="Q101" s="7">
        <v>2.16E-89</v>
      </c>
      <c r="R101" s="7">
        <v>4.2999999999999999E-78</v>
      </c>
      <c r="S101" s="7">
        <v>1.48E-83</v>
      </c>
      <c r="T101" s="7">
        <v>2.3100000000000001E-78</v>
      </c>
      <c r="U101" s="7">
        <v>6.7699999999999997E-51</v>
      </c>
      <c r="V101" s="7">
        <v>8.3199999999999995E-88</v>
      </c>
    </row>
    <row r="102" spans="1:22" s="5" customFormat="1" x14ac:dyDescent="0.2">
      <c r="A102" s="3" t="s">
        <v>201</v>
      </c>
      <c r="B102" s="3" t="s">
        <v>162</v>
      </c>
      <c r="C102" s="3" t="s">
        <v>163</v>
      </c>
      <c r="D102" s="3" t="s">
        <v>17</v>
      </c>
      <c r="E102" s="3" t="s">
        <v>62</v>
      </c>
      <c r="F102" s="3" t="s">
        <v>226</v>
      </c>
      <c r="G102" s="10" t="s">
        <v>13</v>
      </c>
      <c r="H102" s="3">
        <v>2608</v>
      </c>
      <c r="I102" s="15">
        <v>0.3</v>
      </c>
      <c r="J102" s="15">
        <v>0.27</v>
      </c>
      <c r="K102" s="15">
        <v>0.24</v>
      </c>
      <c r="L102" s="15">
        <v>0.25</v>
      </c>
      <c r="M102" s="15">
        <v>0.26</v>
      </c>
      <c r="N102" s="15">
        <v>0.25</v>
      </c>
      <c r="O102" s="15">
        <v>0.22</v>
      </c>
      <c r="P102" s="4">
        <v>2.4100000000000001E-56</v>
      </c>
      <c r="Q102" s="4">
        <v>4.2899999999999998E-44</v>
      </c>
      <c r="R102" s="4">
        <v>1.6299999999999999E-40</v>
      </c>
      <c r="S102" s="4">
        <v>4.8299999999999998E-36</v>
      </c>
      <c r="T102" s="4">
        <v>1.11E-40</v>
      </c>
      <c r="U102" s="4">
        <v>1.3900000000000001E-37</v>
      </c>
      <c r="V102" s="4">
        <v>9.5299999999999999E-31</v>
      </c>
    </row>
    <row r="103" spans="1:22" s="8" customFormat="1" x14ac:dyDescent="0.2">
      <c r="A103" s="6" t="s">
        <v>191</v>
      </c>
      <c r="B103" s="6" t="s">
        <v>164</v>
      </c>
      <c r="C103" s="6" t="s">
        <v>165</v>
      </c>
      <c r="D103" s="6" t="s">
        <v>17</v>
      </c>
      <c r="E103" s="6" t="s">
        <v>142</v>
      </c>
      <c r="F103" s="6" t="s">
        <v>226</v>
      </c>
      <c r="G103" s="11" t="s">
        <v>13</v>
      </c>
      <c r="H103" s="6">
        <v>2658</v>
      </c>
      <c r="I103" s="14">
        <v>0.56999999999999995</v>
      </c>
      <c r="J103" s="14">
        <v>0.55000000000000004</v>
      </c>
      <c r="K103" s="14">
        <v>0.56999999999999995</v>
      </c>
      <c r="L103" s="14">
        <v>0.57999999999999996</v>
      </c>
      <c r="M103" s="14">
        <v>0.56999999999999995</v>
      </c>
      <c r="N103" s="14">
        <v>0.52</v>
      </c>
      <c r="O103" s="14">
        <v>0.48</v>
      </c>
      <c r="P103" s="7">
        <v>1.9E-224</v>
      </c>
      <c r="Q103" s="7">
        <v>1.4999999999999999E-208</v>
      </c>
      <c r="R103" s="7">
        <v>1.89E-229</v>
      </c>
      <c r="S103" s="7">
        <v>7.1799999999999997E-228</v>
      </c>
      <c r="T103" s="7">
        <v>9.6299999999999998E-230</v>
      </c>
      <c r="U103" s="7">
        <v>3.5699999999999999E-186</v>
      </c>
      <c r="V103" s="7">
        <v>3.9799999999999998E-153</v>
      </c>
    </row>
    <row r="104" spans="1:22" s="5" customFormat="1" x14ac:dyDescent="0.2">
      <c r="A104" s="3" t="s">
        <v>202</v>
      </c>
      <c r="B104" s="3" t="s">
        <v>166</v>
      </c>
      <c r="C104" s="3" t="s">
        <v>167</v>
      </c>
      <c r="D104" s="3" t="s">
        <v>10</v>
      </c>
      <c r="E104" s="3" t="s">
        <v>24</v>
      </c>
      <c r="F104" s="3" t="s">
        <v>226</v>
      </c>
      <c r="G104" s="10" t="s">
        <v>13</v>
      </c>
      <c r="H104" s="3">
        <v>1519</v>
      </c>
      <c r="I104" s="15">
        <v>0.61</v>
      </c>
      <c r="J104" s="15">
        <v>0.53</v>
      </c>
      <c r="K104" s="15">
        <v>0.54</v>
      </c>
      <c r="L104" s="15">
        <v>0.56000000000000005</v>
      </c>
      <c r="M104" s="15">
        <v>0.55000000000000004</v>
      </c>
      <c r="N104" s="15">
        <v>0.59</v>
      </c>
      <c r="O104" s="15">
        <v>0.56000000000000005</v>
      </c>
      <c r="P104" s="4">
        <v>1.31E-153</v>
      </c>
      <c r="Q104" s="4">
        <v>9.4500000000000005E-111</v>
      </c>
      <c r="R104" s="4">
        <v>3.8800000000000004E-121</v>
      </c>
      <c r="S104" s="4">
        <v>4.0300000000000003E-117</v>
      </c>
      <c r="T104" s="4">
        <v>3.8800000000000004E-121</v>
      </c>
      <c r="U104" s="4">
        <v>7.6699999999999999E-141</v>
      </c>
      <c r="V104" s="4">
        <v>8.8199999999999995E-126</v>
      </c>
    </row>
    <row r="105" spans="1:22" s="8" customFormat="1" x14ac:dyDescent="0.2">
      <c r="A105" s="6" t="s">
        <v>200</v>
      </c>
      <c r="B105" s="6" t="s">
        <v>168</v>
      </c>
      <c r="C105" s="6" t="s">
        <v>169</v>
      </c>
      <c r="D105" s="6" t="s">
        <v>10</v>
      </c>
      <c r="E105" s="6" t="s">
        <v>24</v>
      </c>
      <c r="F105" s="6" t="s">
        <v>226</v>
      </c>
      <c r="G105" s="11" t="s">
        <v>13</v>
      </c>
      <c r="H105" s="6">
        <v>1519</v>
      </c>
      <c r="I105" s="14">
        <v>0.43</v>
      </c>
      <c r="J105" s="14">
        <v>0.39</v>
      </c>
      <c r="K105" s="14">
        <v>0.38</v>
      </c>
      <c r="L105" s="14">
        <v>0.41</v>
      </c>
      <c r="M105" s="14">
        <v>0.44</v>
      </c>
      <c r="N105" s="14">
        <v>0.43</v>
      </c>
      <c r="O105" s="14">
        <v>0.4</v>
      </c>
      <c r="P105" s="7">
        <v>5.6699999999999997E-68</v>
      </c>
      <c r="Q105" s="7">
        <v>5.4299999999999998E-55</v>
      </c>
      <c r="R105" s="7">
        <v>3.37E-72</v>
      </c>
      <c r="S105" s="7">
        <v>2.25E-52</v>
      </c>
      <c r="T105" s="7">
        <v>3.37E-72</v>
      </c>
      <c r="U105" s="7">
        <v>4.6499999999999999E-70</v>
      </c>
      <c r="V105" s="7">
        <v>4.5699999999999996E-59</v>
      </c>
    </row>
    <row r="106" spans="1:22" s="5" customFormat="1" x14ac:dyDescent="0.2">
      <c r="A106" s="3" t="s">
        <v>193</v>
      </c>
      <c r="B106" s="3" t="s">
        <v>170</v>
      </c>
      <c r="C106" s="3" t="s">
        <v>171</v>
      </c>
      <c r="D106" s="3" t="s">
        <v>17</v>
      </c>
      <c r="E106" s="3" t="s">
        <v>62</v>
      </c>
      <c r="F106" s="3" t="s">
        <v>226</v>
      </c>
      <c r="G106" s="10" t="s">
        <v>13</v>
      </c>
      <c r="H106" s="3">
        <v>2280</v>
      </c>
      <c r="I106" s="15">
        <v>0.56000000000000005</v>
      </c>
      <c r="J106" s="15">
        <v>0.55000000000000004</v>
      </c>
      <c r="K106" s="15">
        <v>0.52</v>
      </c>
      <c r="L106" s="15">
        <v>0.53</v>
      </c>
      <c r="M106" s="15">
        <v>0.55000000000000004</v>
      </c>
      <c r="N106" s="15">
        <v>0.51</v>
      </c>
      <c r="O106" s="15">
        <v>0.43</v>
      </c>
      <c r="P106" s="4">
        <v>4.9299999999999999E-185</v>
      </c>
      <c r="Q106" s="4">
        <v>9.1799999999999998E-183</v>
      </c>
      <c r="R106" s="4">
        <v>9.9700000000000004E-177</v>
      </c>
      <c r="S106" s="4">
        <v>3.0499999999999999E-158</v>
      </c>
      <c r="T106" s="4">
        <v>6.8099999999999997E-177</v>
      </c>
      <c r="U106" s="4">
        <v>2.6499999999999999E-151</v>
      </c>
      <c r="V106" s="4">
        <v>4.1900000000000002E-101</v>
      </c>
    </row>
    <row r="107" spans="1:22" s="8" customFormat="1" x14ac:dyDescent="0.2">
      <c r="A107" s="6" t="s">
        <v>194</v>
      </c>
      <c r="B107" s="6" t="s">
        <v>172</v>
      </c>
      <c r="C107" s="6" t="s">
        <v>173</v>
      </c>
      <c r="D107" s="6" t="s">
        <v>17</v>
      </c>
      <c r="E107" s="6" t="s">
        <v>174</v>
      </c>
      <c r="F107" s="6" t="s">
        <v>226</v>
      </c>
      <c r="G107" s="11" t="s">
        <v>13</v>
      </c>
      <c r="H107" s="6">
        <v>603</v>
      </c>
      <c r="I107" s="14">
        <v>0.54</v>
      </c>
      <c r="J107" s="14">
        <v>0.53</v>
      </c>
      <c r="K107" s="14">
        <v>0.54</v>
      </c>
      <c r="L107" s="14">
        <v>0.56000000000000005</v>
      </c>
      <c r="M107" s="14">
        <v>0.54</v>
      </c>
      <c r="N107" s="14">
        <v>0.49</v>
      </c>
      <c r="O107" s="14">
        <v>0.49</v>
      </c>
      <c r="P107" s="7">
        <v>2.05E-46</v>
      </c>
      <c r="Q107" s="7">
        <v>3.8699999999999998E-44</v>
      </c>
      <c r="R107" s="7">
        <v>7.42E-47</v>
      </c>
      <c r="S107" s="7">
        <v>7.1800000000000004E-48</v>
      </c>
      <c r="T107" s="7">
        <v>7.42E-47</v>
      </c>
      <c r="U107" s="7">
        <v>7.4399999999999998E-38</v>
      </c>
      <c r="V107" s="7">
        <v>1.6699999999999999E-37</v>
      </c>
    </row>
    <row r="108" spans="1:22" s="5" customFormat="1" x14ac:dyDescent="0.2">
      <c r="A108" s="3" t="s">
        <v>185</v>
      </c>
      <c r="B108" s="3" t="s">
        <v>175</v>
      </c>
      <c r="C108" s="3" t="s">
        <v>176</v>
      </c>
      <c r="D108" s="3" t="s">
        <v>17</v>
      </c>
      <c r="E108" s="3" t="s">
        <v>32</v>
      </c>
      <c r="F108" s="3" t="s">
        <v>226</v>
      </c>
      <c r="G108" s="10" t="s">
        <v>13</v>
      </c>
      <c r="H108" s="3">
        <v>313</v>
      </c>
      <c r="I108" s="15">
        <v>0.62</v>
      </c>
      <c r="J108" s="15">
        <v>0.62</v>
      </c>
      <c r="K108" s="15">
        <v>0.62</v>
      </c>
      <c r="L108" s="15">
        <v>0.66</v>
      </c>
      <c r="M108" s="15">
        <v>0.65</v>
      </c>
      <c r="N108" s="15">
        <v>0.57999999999999996</v>
      </c>
      <c r="O108" s="15">
        <v>0.56999999999999995</v>
      </c>
      <c r="P108" s="4">
        <v>4.81E-35</v>
      </c>
      <c r="Q108" s="4">
        <v>3.2800000000000002E-34</v>
      </c>
      <c r="R108" s="4">
        <v>2.6500000000000001E-38</v>
      </c>
      <c r="S108" s="4">
        <v>6.0399999999999997E-35</v>
      </c>
      <c r="T108" s="4">
        <v>2.6500000000000001E-38</v>
      </c>
      <c r="U108" s="4">
        <v>4.6499999999999997E-30</v>
      </c>
      <c r="V108" s="4">
        <v>2.9500000000000001E-28</v>
      </c>
    </row>
  </sheetData>
  <mergeCells count="1">
    <mergeCell ref="A1:V1"/>
  </mergeCells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DD823-244D-4E11-B18A-31308124598A}">
  <dimension ref="A1:H44"/>
  <sheetViews>
    <sheetView topLeftCell="A28" workbookViewId="0">
      <selection activeCell="D46" sqref="D46"/>
    </sheetView>
  </sheetViews>
  <sheetFormatPr defaultRowHeight="14.25" x14ac:dyDescent="0.2"/>
  <cols>
    <col min="1" max="1" width="30.5" customWidth="1"/>
    <col min="2" max="2" width="29.125" customWidth="1"/>
    <col min="3" max="3" width="17.625" customWidth="1"/>
    <col min="4" max="4" width="27.75" customWidth="1"/>
    <col min="5" max="5" width="28" customWidth="1"/>
    <col min="6" max="6" width="28.875" customWidth="1"/>
    <col min="7" max="7" width="31.375" customWidth="1"/>
    <col min="8" max="8" width="39.75" customWidth="1"/>
    <col min="9" max="9" width="19.875" customWidth="1"/>
    <col min="16" max="16" width="16.75" customWidth="1"/>
  </cols>
  <sheetData>
    <row r="1" spans="1:7" ht="23.25" customHeight="1" x14ac:dyDescent="0.2">
      <c r="A1" s="18" t="s">
        <v>238</v>
      </c>
      <c r="B1" s="18"/>
      <c r="C1" s="18"/>
      <c r="D1" s="18"/>
      <c r="E1" s="18"/>
      <c r="F1" s="18"/>
      <c r="G1" s="18"/>
    </row>
    <row r="2" spans="1:7" ht="20.25" x14ac:dyDescent="0.2">
      <c r="A2" s="1" t="s">
        <v>2</v>
      </c>
      <c r="B2" s="1" t="s">
        <v>237</v>
      </c>
      <c r="C2" s="1" t="s">
        <v>3</v>
      </c>
      <c r="D2" s="1" t="s">
        <v>4</v>
      </c>
      <c r="E2" s="1" t="s">
        <v>218</v>
      </c>
      <c r="F2" s="1" t="s">
        <v>219</v>
      </c>
      <c r="G2" s="1" t="s">
        <v>220</v>
      </c>
    </row>
    <row r="3" spans="1:7" ht="20.25" x14ac:dyDescent="0.2">
      <c r="A3" s="15">
        <v>0.62</v>
      </c>
      <c r="B3" s="15">
        <v>0.61</v>
      </c>
      <c r="C3" s="15">
        <v>0.57999999999999996</v>
      </c>
      <c r="D3" s="15">
        <v>0.57999999999999996</v>
      </c>
      <c r="E3" s="15">
        <v>0.64</v>
      </c>
      <c r="F3" s="15">
        <v>0.55000000000000004</v>
      </c>
      <c r="G3" s="15">
        <v>0.38</v>
      </c>
    </row>
    <row r="4" spans="1:7" ht="20.25" x14ac:dyDescent="0.2">
      <c r="A4" s="14">
        <v>0.25</v>
      </c>
      <c r="B4" s="14">
        <v>0.23</v>
      </c>
      <c r="C4" s="14">
        <v>0.23</v>
      </c>
      <c r="D4" s="14">
        <v>0.24</v>
      </c>
      <c r="E4" s="14">
        <v>0.23</v>
      </c>
      <c r="F4" s="14">
        <v>0.22</v>
      </c>
      <c r="G4" s="14">
        <v>0.17</v>
      </c>
    </row>
    <row r="5" spans="1:7" ht="20.25" x14ac:dyDescent="0.2">
      <c r="A5" s="15">
        <v>0.51</v>
      </c>
      <c r="B5" s="15">
        <v>0.49</v>
      </c>
      <c r="C5" s="15">
        <v>0.47</v>
      </c>
      <c r="D5" s="15">
        <v>0.47</v>
      </c>
      <c r="E5" s="15">
        <v>0.49</v>
      </c>
      <c r="F5" s="15">
        <v>0.43</v>
      </c>
      <c r="G5" s="15">
        <v>0.33</v>
      </c>
    </row>
    <row r="6" spans="1:7" ht="20.25" x14ac:dyDescent="0.2">
      <c r="A6" s="14">
        <v>0.52</v>
      </c>
      <c r="B6" s="14">
        <v>0.51</v>
      </c>
      <c r="C6" s="14">
        <v>0.5</v>
      </c>
      <c r="D6" s="14">
        <v>0.52</v>
      </c>
      <c r="E6" s="14">
        <v>0</v>
      </c>
      <c r="F6" s="14">
        <v>0.4</v>
      </c>
      <c r="G6" s="14">
        <v>0.48</v>
      </c>
    </row>
    <row r="7" spans="1:7" ht="20.25" x14ac:dyDescent="0.2">
      <c r="A7" s="15">
        <v>0.52</v>
      </c>
      <c r="B7" s="15">
        <v>0.51</v>
      </c>
      <c r="C7" s="15">
        <v>0.5</v>
      </c>
      <c r="D7" s="15">
        <v>0.52</v>
      </c>
      <c r="E7" s="15">
        <v>0.18</v>
      </c>
      <c r="F7" s="15">
        <v>0.41</v>
      </c>
      <c r="G7" s="15">
        <v>0.48</v>
      </c>
    </row>
    <row r="8" spans="1:7" ht="20.25" x14ac:dyDescent="0.2">
      <c r="A8" s="14">
        <v>0.66</v>
      </c>
      <c r="B8" s="14">
        <v>0.65</v>
      </c>
      <c r="C8" s="14">
        <v>0.64</v>
      </c>
      <c r="D8" s="14">
        <v>0.65</v>
      </c>
      <c r="E8" s="14">
        <v>0.67</v>
      </c>
      <c r="F8" s="14">
        <v>0.63</v>
      </c>
      <c r="G8" s="14">
        <v>0.54</v>
      </c>
    </row>
    <row r="9" spans="1:7" ht="20.25" x14ac:dyDescent="0.2">
      <c r="A9" s="15">
        <v>0.78</v>
      </c>
      <c r="B9" s="15">
        <v>0.77</v>
      </c>
      <c r="C9" s="15">
        <v>0.74</v>
      </c>
      <c r="D9" s="15">
        <v>0.74</v>
      </c>
      <c r="E9" s="15">
        <v>0.78</v>
      </c>
      <c r="F9" s="15">
        <v>0.73</v>
      </c>
      <c r="G9" s="15">
        <v>0.63</v>
      </c>
    </row>
    <row r="10" spans="1:7" ht="20.25" x14ac:dyDescent="0.2">
      <c r="A10" s="14">
        <v>-0.57999999999999996</v>
      </c>
      <c r="B10" s="14">
        <v>-0.57999999999999996</v>
      </c>
      <c r="C10" s="14">
        <v>-0.51</v>
      </c>
      <c r="D10" s="14">
        <v>-0.51</v>
      </c>
      <c r="E10" s="14">
        <v>-0.56000000000000005</v>
      </c>
      <c r="F10" s="14">
        <v>-0.5</v>
      </c>
      <c r="G10" s="14">
        <v>-0.44</v>
      </c>
    </row>
    <row r="11" spans="1:7" ht="20.25" x14ac:dyDescent="0.2">
      <c r="A11" s="15">
        <v>0.79</v>
      </c>
      <c r="B11" s="15">
        <v>0.77</v>
      </c>
      <c r="C11" s="15">
        <v>0.74</v>
      </c>
      <c r="D11" s="15">
        <v>0.75</v>
      </c>
      <c r="E11" s="15">
        <v>0.78</v>
      </c>
      <c r="F11" s="15">
        <v>0.72</v>
      </c>
      <c r="G11" s="15">
        <v>0.61</v>
      </c>
    </row>
    <row r="12" spans="1:7" ht="20.25" x14ac:dyDescent="0.2">
      <c r="A12" s="14">
        <v>0.75</v>
      </c>
      <c r="B12" s="14">
        <v>0.74</v>
      </c>
      <c r="C12" s="14">
        <v>0.65</v>
      </c>
      <c r="D12" s="14">
        <v>0.68</v>
      </c>
      <c r="E12" s="14">
        <v>0.75</v>
      </c>
      <c r="F12" s="14">
        <v>0.7</v>
      </c>
      <c r="G12" s="14">
        <v>0.59</v>
      </c>
    </row>
    <row r="13" spans="1:7" ht="20.25" x14ac:dyDescent="0.2">
      <c r="A13" s="15">
        <v>0.59</v>
      </c>
      <c r="B13" s="15">
        <v>0.57999999999999996</v>
      </c>
      <c r="C13" s="15">
        <v>0.6</v>
      </c>
      <c r="D13" s="15">
        <v>0.61</v>
      </c>
      <c r="E13" s="15">
        <v>0.57999999999999996</v>
      </c>
      <c r="F13" s="15">
        <v>0.56000000000000005</v>
      </c>
      <c r="G13" s="15">
        <v>0.44</v>
      </c>
    </row>
    <row r="14" spans="1:7" ht="20.25" x14ac:dyDescent="0.2">
      <c r="A14" s="14">
        <v>0.59</v>
      </c>
      <c r="B14" s="14">
        <v>0.56000000000000005</v>
      </c>
      <c r="C14" s="14">
        <v>0.57999999999999996</v>
      </c>
      <c r="D14" s="14">
        <v>0.59</v>
      </c>
      <c r="E14" s="14">
        <v>0.55000000000000004</v>
      </c>
      <c r="F14" s="14">
        <v>0.46</v>
      </c>
      <c r="G14" s="14">
        <v>0.55000000000000004</v>
      </c>
    </row>
    <row r="15" spans="1:7" ht="20.25" x14ac:dyDescent="0.2">
      <c r="A15" s="15">
        <v>0.25</v>
      </c>
      <c r="B15" s="15">
        <v>0.23</v>
      </c>
      <c r="C15" s="15">
        <v>0.23</v>
      </c>
      <c r="D15" s="15">
        <v>0.25</v>
      </c>
      <c r="E15" s="15">
        <v>0.23</v>
      </c>
      <c r="F15" s="15">
        <v>0.23</v>
      </c>
      <c r="G15" s="15">
        <v>0.19</v>
      </c>
    </row>
    <row r="16" spans="1:7" ht="20.25" x14ac:dyDescent="0.2">
      <c r="A16" s="14">
        <v>0.57999999999999996</v>
      </c>
      <c r="B16" s="14">
        <v>0.56999999999999995</v>
      </c>
      <c r="C16" s="14">
        <v>0.57999999999999996</v>
      </c>
      <c r="D16" s="14">
        <v>0.6</v>
      </c>
      <c r="E16" s="14">
        <v>0.6</v>
      </c>
      <c r="F16" s="14">
        <v>0.53</v>
      </c>
      <c r="G16" s="14">
        <v>0.46</v>
      </c>
    </row>
    <row r="17" spans="1:7" ht="20.25" x14ac:dyDescent="0.2">
      <c r="A17" s="15">
        <v>0.69</v>
      </c>
      <c r="B17" s="15">
        <v>0.64</v>
      </c>
      <c r="C17" s="15">
        <v>0.66</v>
      </c>
      <c r="D17" s="15">
        <v>0.67</v>
      </c>
      <c r="E17" s="15">
        <v>0.53</v>
      </c>
      <c r="F17" s="15">
        <v>0.63</v>
      </c>
      <c r="G17" s="15">
        <v>0.45</v>
      </c>
    </row>
    <row r="18" spans="1:7" ht="20.25" x14ac:dyDescent="0.2">
      <c r="A18" s="14">
        <v>0.55000000000000004</v>
      </c>
      <c r="B18" s="14">
        <v>0.44</v>
      </c>
      <c r="C18" s="14">
        <v>0.52</v>
      </c>
      <c r="D18" s="14">
        <v>0.53</v>
      </c>
      <c r="E18" s="14">
        <v>0.41</v>
      </c>
      <c r="F18" s="14">
        <v>0.46</v>
      </c>
      <c r="G18" s="14">
        <v>0.47</v>
      </c>
    </row>
    <row r="19" spans="1:7" ht="20.25" x14ac:dyDescent="0.2">
      <c r="A19" s="15">
        <v>0.53</v>
      </c>
      <c r="B19" s="15">
        <v>0.5</v>
      </c>
      <c r="C19" s="15">
        <v>0.53</v>
      </c>
      <c r="D19" s="15">
        <v>0.56999999999999995</v>
      </c>
      <c r="E19" s="15">
        <v>0.46</v>
      </c>
      <c r="F19" s="15">
        <v>0.51</v>
      </c>
      <c r="G19" s="15">
        <v>0.46</v>
      </c>
    </row>
    <row r="20" spans="1:7" ht="20.25" x14ac:dyDescent="0.2">
      <c r="A20" s="14">
        <v>0.57999999999999996</v>
      </c>
      <c r="B20" s="14">
        <v>0.55000000000000004</v>
      </c>
      <c r="C20" s="14">
        <v>0.57999999999999996</v>
      </c>
      <c r="D20" s="14">
        <v>0.57999999999999996</v>
      </c>
      <c r="E20" s="14">
        <v>0.53</v>
      </c>
      <c r="F20" s="14">
        <v>0.49</v>
      </c>
      <c r="G20" s="14">
        <v>0.51</v>
      </c>
    </row>
    <row r="21" spans="1:7" ht="20.25" x14ac:dyDescent="0.2">
      <c r="A21" s="15">
        <v>0.56000000000000005</v>
      </c>
      <c r="B21" s="15">
        <v>0.54</v>
      </c>
      <c r="C21" s="15">
        <v>0.57999999999999996</v>
      </c>
      <c r="D21" s="15">
        <v>0.59</v>
      </c>
      <c r="E21" s="15">
        <v>0.52</v>
      </c>
      <c r="F21" s="15">
        <v>0.5</v>
      </c>
      <c r="G21" s="15">
        <v>0.51</v>
      </c>
    </row>
    <row r="22" spans="1:7" ht="20.25" x14ac:dyDescent="0.2">
      <c r="A22" s="14">
        <v>0.64</v>
      </c>
      <c r="B22" s="14">
        <v>0.62</v>
      </c>
      <c r="C22" s="14">
        <v>0.64</v>
      </c>
      <c r="D22" s="14">
        <v>0.66</v>
      </c>
      <c r="E22" s="14">
        <v>0.67</v>
      </c>
      <c r="F22" s="14">
        <v>0.62</v>
      </c>
      <c r="G22" s="14">
        <v>0.37</v>
      </c>
    </row>
    <row r="23" spans="1:7" ht="20.25" x14ac:dyDescent="0.2">
      <c r="A23" s="15">
        <v>-0.25</v>
      </c>
      <c r="B23" s="15">
        <v>0.22</v>
      </c>
      <c r="C23" s="15">
        <v>-0.26</v>
      </c>
      <c r="D23" s="15">
        <v>-0.27</v>
      </c>
      <c r="E23" s="15">
        <v>-0.24</v>
      </c>
      <c r="F23" s="15">
        <v>-0.25</v>
      </c>
      <c r="G23" s="15">
        <v>-0.24</v>
      </c>
    </row>
    <row r="24" spans="1:7" ht="20.25" x14ac:dyDescent="0.2">
      <c r="A24" s="14">
        <v>0.73</v>
      </c>
      <c r="B24" s="14">
        <v>0.7</v>
      </c>
      <c r="C24" s="14">
        <v>0.68</v>
      </c>
      <c r="D24" s="14">
        <v>0.69</v>
      </c>
      <c r="E24" s="14">
        <v>0.73</v>
      </c>
      <c r="F24" s="14">
        <v>0.69</v>
      </c>
      <c r="G24" s="14">
        <v>0.44</v>
      </c>
    </row>
    <row r="25" spans="1:7" ht="20.25" x14ac:dyDescent="0.2">
      <c r="A25" s="15">
        <v>0.6</v>
      </c>
      <c r="B25" s="15">
        <v>0.57999999999999996</v>
      </c>
      <c r="C25" s="15">
        <v>0.48</v>
      </c>
      <c r="D25" s="15">
        <v>0.49</v>
      </c>
      <c r="E25" s="15">
        <v>0.59</v>
      </c>
      <c r="F25" s="15">
        <v>0.57999999999999996</v>
      </c>
      <c r="G25" s="15">
        <v>0.51</v>
      </c>
    </row>
    <row r="26" spans="1:7" ht="20.25" x14ac:dyDescent="0.2">
      <c r="A26" s="14">
        <v>0.6</v>
      </c>
      <c r="B26" s="14">
        <v>0.31</v>
      </c>
      <c r="C26" s="14">
        <v>0.57999999999999996</v>
      </c>
      <c r="D26" s="14">
        <v>0.61</v>
      </c>
      <c r="E26" s="14">
        <v>0.48</v>
      </c>
      <c r="F26" s="14">
        <v>0.48</v>
      </c>
      <c r="G26" s="14">
        <v>0.48</v>
      </c>
    </row>
    <row r="27" spans="1:7" ht="20.25" x14ac:dyDescent="0.2">
      <c r="A27" s="15">
        <v>0.69</v>
      </c>
      <c r="B27" s="15">
        <v>0.67</v>
      </c>
      <c r="C27" s="15">
        <v>0.63</v>
      </c>
      <c r="D27" s="15">
        <v>0.64</v>
      </c>
      <c r="E27" s="15">
        <v>0.71</v>
      </c>
      <c r="F27" s="15">
        <v>0.63</v>
      </c>
      <c r="G27" s="15">
        <v>0.5</v>
      </c>
    </row>
    <row r="28" spans="1:7" ht="20.25" x14ac:dyDescent="0.2">
      <c r="A28" s="14">
        <v>0.66</v>
      </c>
      <c r="B28" s="14">
        <v>0.64</v>
      </c>
      <c r="C28" s="14">
        <v>0.59</v>
      </c>
      <c r="D28" s="14">
        <v>0.62</v>
      </c>
      <c r="E28" s="14">
        <v>0.69</v>
      </c>
      <c r="F28" s="14">
        <v>0.6</v>
      </c>
      <c r="G28" s="14">
        <v>0.43</v>
      </c>
    </row>
    <row r="29" spans="1:7" ht="20.25" x14ac:dyDescent="0.2">
      <c r="A29" s="15">
        <v>0.49</v>
      </c>
      <c r="B29" s="15">
        <v>0.48</v>
      </c>
      <c r="C29" s="15">
        <v>0.37</v>
      </c>
      <c r="D29" s="15">
        <v>0.42</v>
      </c>
      <c r="E29" s="15">
        <v>0.45</v>
      </c>
      <c r="F29" s="15">
        <v>0.43</v>
      </c>
      <c r="G29" s="15">
        <v>0.06</v>
      </c>
    </row>
    <row r="30" spans="1:7" ht="20.25" x14ac:dyDescent="0.2">
      <c r="A30" s="14">
        <v>0.67</v>
      </c>
      <c r="B30" s="14">
        <v>0.63</v>
      </c>
      <c r="C30" s="14">
        <v>0.63</v>
      </c>
      <c r="D30" s="14">
        <v>0.66</v>
      </c>
      <c r="E30" s="14">
        <v>0.39</v>
      </c>
      <c r="F30" s="14">
        <v>0.59</v>
      </c>
      <c r="G30" s="14">
        <v>0.65</v>
      </c>
    </row>
    <row r="31" spans="1:7" ht="20.25" x14ac:dyDescent="0.2">
      <c r="A31" s="15">
        <v>0.49</v>
      </c>
      <c r="B31" s="15">
        <v>0.45</v>
      </c>
      <c r="C31" s="15">
        <v>0.5</v>
      </c>
      <c r="D31" s="15">
        <v>0.52</v>
      </c>
      <c r="E31" s="15">
        <v>0.42</v>
      </c>
      <c r="F31" s="15">
        <v>0.47</v>
      </c>
      <c r="G31" s="15">
        <v>0.49</v>
      </c>
    </row>
    <row r="32" spans="1:7" ht="20.25" x14ac:dyDescent="0.2">
      <c r="A32" s="14">
        <v>0.49</v>
      </c>
      <c r="B32" s="14">
        <v>0.46</v>
      </c>
      <c r="C32" s="14">
        <v>0.46</v>
      </c>
      <c r="D32" s="14">
        <v>0.47</v>
      </c>
      <c r="E32" s="14">
        <v>0.47</v>
      </c>
      <c r="F32" s="14">
        <v>0.43</v>
      </c>
      <c r="G32" s="14">
        <v>0.45</v>
      </c>
    </row>
    <row r="33" spans="1:8" ht="20.25" x14ac:dyDescent="0.2">
      <c r="A33" s="15">
        <v>0.54</v>
      </c>
      <c r="B33" s="15">
        <v>0.5</v>
      </c>
      <c r="C33" s="15">
        <v>0.52</v>
      </c>
      <c r="D33" s="15">
        <v>0.54</v>
      </c>
      <c r="E33" s="15">
        <v>0.49</v>
      </c>
      <c r="F33" s="15">
        <v>0.45</v>
      </c>
      <c r="G33" s="15">
        <v>0.41</v>
      </c>
    </row>
    <row r="34" spans="1:8" ht="20.25" x14ac:dyDescent="0.2">
      <c r="A34" s="14">
        <v>0.5</v>
      </c>
      <c r="B34" s="14">
        <v>0.45</v>
      </c>
      <c r="C34" s="14">
        <v>0.5</v>
      </c>
      <c r="D34" s="14">
        <v>0.53</v>
      </c>
      <c r="E34" s="14">
        <v>0.42</v>
      </c>
      <c r="F34" s="14">
        <v>0.4</v>
      </c>
      <c r="G34" s="14">
        <v>0.47</v>
      </c>
    </row>
    <row r="35" spans="1:8" ht="20.25" x14ac:dyDescent="0.2">
      <c r="A35" s="15">
        <v>0.55000000000000004</v>
      </c>
      <c r="B35" s="15">
        <v>0.51</v>
      </c>
      <c r="C35" s="15">
        <v>0.54</v>
      </c>
      <c r="D35" s="15">
        <v>0.56000000000000005</v>
      </c>
      <c r="E35" s="15">
        <v>0.51</v>
      </c>
      <c r="F35" s="15">
        <v>0.45</v>
      </c>
      <c r="G35" s="15">
        <v>0.47</v>
      </c>
    </row>
    <row r="36" spans="1:8" ht="20.25" x14ac:dyDescent="0.2">
      <c r="A36" s="14">
        <v>0.54</v>
      </c>
      <c r="B36" s="14">
        <v>0.51</v>
      </c>
      <c r="C36" s="14">
        <v>0.5</v>
      </c>
      <c r="D36" s="14">
        <v>0.51</v>
      </c>
      <c r="E36" s="14">
        <v>0.48</v>
      </c>
      <c r="F36" s="14">
        <v>0.4</v>
      </c>
      <c r="G36" s="14">
        <v>0.51</v>
      </c>
    </row>
    <row r="37" spans="1:8" ht="20.25" x14ac:dyDescent="0.2">
      <c r="A37" s="15">
        <v>0.3</v>
      </c>
      <c r="B37" s="15">
        <v>0.27</v>
      </c>
      <c r="C37" s="15">
        <v>0.24</v>
      </c>
      <c r="D37" s="15">
        <v>0.25</v>
      </c>
      <c r="E37" s="15">
        <v>0.26</v>
      </c>
      <c r="F37" s="15">
        <v>0.25</v>
      </c>
      <c r="G37" s="15">
        <v>0.22</v>
      </c>
    </row>
    <row r="38" spans="1:8" ht="20.25" x14ac:dyDescent="0.2">
      <c r="A38" s="14">
        <v>0.56999999999999995</v>
      </c>
      <c r="B38" s="14">
        <v>0.55000000000000004</v>
      </c>
      <c r="C38" s="14">
        <v>0.56999999999999995</v>
      </c>
      <c r="D38" s="14">
        <v>0.57999999999999996</v>
      </c>
      <c r="E38" s="14">
        <v>0.56999999999999995</v>
      </c>
      <c r="F38" s="14">
        <v>0.52</v>
      </c>
      <c r="G38" s="14">
        <v>0.48</v>
      </c>
    </row>
    <row r="39" spans="1:8" ht="20.25" x14ac:dyDescent="0.2">
      <c r="A39" s="15">
        <v>0.61</v>
      </c>
      <c r="B39" s="15">
        <v>0.53</v>
      </c>
      <c r="C39" s="15">
        <v>0.54</v>
      </c>
      <c r="D39" s="15">
        <v>0.56000000000000005</v>
      </c>
      <c r="E39" s="15">
        <v>0.55000000000000004</v>
      </c>
      <c r="F39" s="15">
        <v>0.59</v>
      </c>
      <c r="G39" s="15">
        <v>0.56000000000000005</v>
      </c>
    </row>
    <row r="40" spans="1:8" ht="20.25" x14ac:dyDescent="0.2">
      <c r="A40" s="14">
        <v>0.43</v>
      </c>
      <c r="B40" s="14">
        <v>0.39</v>
      </c>
      <c r="C40" s="14">
        <v>0.38</v>
      </c>
      <c r="D40" s="14">
        <v>0.41</v>
      </c>
      <c r="E40" s="14">
        <v>0.44</v>
      </c>
      <c r="F40" s="14">
        <v>0.43</v>
      </c>
      <c r="G40" s="14">
        <v>0.4</v>
      </c>
    </row>
    <row r="41" spans="1:8" ht="20.25" x14ac:dyDescent="0.2">
      <c r="A41" s="15">
        <v>0.56000000000000005</v>
      </c>
      <c r="B41" s="15">
        <v>0.55000000000000004</v>
      </c>
      <c r="C41" s="15">
        <v>0.52</v>
      </c>
      <c r="D41" s="15">
        <v>0.53</v>
      </c>
      <c r="E41" s="15">
        <v>0.55000000000000004</v>
      </c>
      <c r="F41" s="15">
        <v>0.51</v>
      </c>
      <c r="G41" s="15">
        <v>0.43</v>
      </c>
    </row>
    <row r="42" spans="1:8" ht="20.25" x14ac:dyDescent="0.2">
      <c r="A42" s="14">
        <v>0.54</v>
      </c>
      <c r="B42" s="14">
        <v>0.53</v>
      </c>
      <c r="C42" s="14">
        <v>0.54</v>
      </c>
      <c r="D42" s="14">
        <v>0.56000000000000005</v>
      </c>
      <c r="E42" s="14">
        <v>0.54</v>
      </c>
      <c r="F42" s="14">
        <v>0.49</v>
      </c>
      <c r="G42" s="14">
        <v>0.49</v>
      </c>
    </row>
    <row r="43" spans="1:8" ht="20.25" x14ac:dyDescent="0.2">
      <c r="A43" s="15">
        <v>0.62</v>
      </c>
      <c r="B43" s="15">
        <v>0.62</v>
      </c>
      <c r="C43" s="15">
        <v>0.62</v>
      </c>
      <c r="D43" s="15">
        <v>0.66</v>
      </c>
      <c r="E43" s="15">
        <v>0.65</v>
      </c>
      <c r="F43" s="15">
        <v>0.57999999999999996</v>
      </c>
      <c r="G43" s="15">
        <v>0.56999999999999995</v>
      </c>
    </row>
    <row r="44" spans="1:8" ht="20.25" x14ac:dyDescent="0.2">
      <c r="A44" s="19">
        <f t="array" ref="A44">AVERAGE(ABS(A3:A43))</f>
        <v>0.56024390243902422</v>
      </c>
      <c r="B44" s="19">
        <f t="array" ref="B44">AVERAGE(ABS(B3:B43))</f>
        <v>0.52780487804878073</v>
      </c>
      <c r="C44" s="19">
        <f t="array" ref="C44">AVERAGE(ABS(C3:C43))</f>
        <v>0.52951219512195113</v>
      </c>
      <c r="D44" s="19">
        <f t="array" ref="D44">AVERAGE(ABS(D3:D43))</f>
        <v>0.54609756097560957</v>
      </c>
      <c r="E44" s="19">
        <f t="array" ref="E44">AVERAGE(ABS(E3:E43))</f>
        <v>0.50707317073170743</v>
      </c>
      <c r="F44" s="19">
        <f t="array" ref="F44">AVERAGE(ABS(F3:F43))</f>
        <v>0.49999999999999983</v>
      </c>
      <c r="G44" s="19">
        <f t="array" ref="G44">AVERAGE(ABS(G3:G43))</f>
        <v>0.44682926829268282</v>
      </c>
      <c r="H44" s="20" t="s">
        <v>239</v>
      </c>
    </row>
  </sheetData>
  <mergeCells count="1">
    <mergeCell ref="A1:G1"/>
  </mergeCells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all</vt:lpstr>
      <vt:lpstr>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王赫</dc:creator>
  <cp:lastModifiedBy>王赫</cp:lastModifiedBy>
  <dcterms:created xsi:type="dcterms:W3CDTF">2023-03-08T13:32:31Z</dcterms:created>
  <dcterms:modified xsi:type="dcterms:W3CDTF">2023-06-12T01:15:48Z</dcterms:modified>
</cp:coreProperties>
</file>